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cconi-my.sharepoint.com/personal/stefano_rossi_unibocconi_it/Documents/20127/Lecture Slides 2026-2027 and Materials/"/>
    </mc:Choice>
  </mc:AlternateContent>
  <xr:revisionPtr revIDLastSave="0" documentId="8_{F3241F50-FC7D-4CF8-A7D3-B461326E0848}" xr6:coauthVersionLast="47" xr6:coauthVersionMax="47" xr10:uidLastSave="{00000000-0000-0000-0000-000000000000}"/>
  <bookViews>
    <workbookView xWindow="28680" yWindow="-120" windowWidth="29040" windowHeight="15720" xr2:uid="{E9B2F671-A5F3-49ED-A5DC-675E5979D18B}"/>
  </bookViews>
  <sheets>
    <sheet name="Disney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4" l="1"/>
  <c r="Q2" i="4"/>
  <c r="D17" i="4" l="1"/>
  <c r="D18" i="4" s="1"/>
  <c r="E16" i="4"/>
  <c r="L11" i="4"/>
  <c r="L10" i="4"/>
  <c r="O10" i="4" s="1"/>
  <c r="D19" i="4" l="1"/>
  <c r="E18" i="4"/>
  <c r="E17" i="4"/>
  <c r="O11" i="4"/>
  <c r="L9" i="4"/>
  <c r="O9" i="4" s="1"/>
  <c r="L8" i="4"/>
  <c r="O8" i="4" s="1"/>
  <c r="L7" i="4"/>
  <c r="O7" i="4" s="1"/>
  <c r="L6" i="4"/>
  <c r="O6" i="4" s="1"/>
  <c r="L5" i="4"/>
  <c r="O5" i="4" s="1"/>
  <c r="L4" i="4"/>
  <c r="O4" i="4" s="1"/>
  <c r="L3" i="4"/>
  <c r="O3" i="4" s="1"/>
  <c r="L2" i="4"/>
  <c r="B15" i="4"/>
  <c r="K16" i="4" s="1"/>
  <c r="E2" i="4"/>
  <c r="G2" i="4" s="1"/>
  <c r="H2" i="4" s="1"/>
  <c r="D3" i="4"/>
  <c r="I3" i="4" l="1"/>
  <c r="M3" i="4" s="1"/>
  <c r="N3" i="4" s="1"/>
  <c r="I2" i="4"/>
  <c r="M2" i="4" s="1"/>
  <c r="F17" i="4"/>
  <c r="I17" i="4" s="1"/>
  <c r="F18" i="4"/>
  <c r="I18" i="4" s="1"/>
  <c r="F19" i="4"/>
  <c r="I19" i="4" s="1"/>
  <c r="F16" i="4"/>
  <c r="E3" i="4"/>
  <c r="G3" i="4" s="1"/>
  <c r="H3" i="4" s="1"/>
  <c r="Q3" i="4" s="1"/>
  <c r="D4" i="4"/>
  <c r="I4" i="4" s="1"/>
  <c r="M4" i="4" s="1"/>
  <c r="N4" i="4" s="1"/>
  <c r="D20" i="4"/>
  <c r="F20" i="4" s="1"/>
  <c r="I20" i="4" s="1"/>
  <c r="E19" i="4"/>
  <c r="J17" i="4" l="1"/>
  <c r="K17" i="4" s="1"/>
  <c r="J16" i="4"/>
  <c r="J18" i="4"/>
  <c r="K18" i="4" s="1"/>
  <c r="J19" i="4"/>
  <c r="K19" i="4" s="1"/>
  <c r="J20" i="4"/>
  <c r="K20" i="4"/>
  <c r="E4" i="4"/>
  <c r="G4" i="4" s="1"/>
  <c r="H4" i="4" s="1"/>
  <c r="Q4" i="4" s="1"/>
  <c r="D5" i="4"/>
  <c r="D21" i="4"/>
  <c r="F21" i="4" s="1"/>
  <c r="I21" i="4" s="1"/>
  <c r="E20" i="4"/>
  <c r="I5" i="4" l="1"/>
  <c r="M5" i="4" s="1"/>
  <c r="N5" i="4" s="1"/>
  <c r="E5" i="4"/>
  <c r="G5" i="4" s="1"/>
  <c r="H5" i="4" s="1"/>
  <c r="Q5" i="4" s="1"/>
  <c r="D6" i="4"/>
  <c r="J21" i="4"/>
  <c r="K21" i="4" s="1"/>
  <c r="D22" i="4"/>
  <c r="F22" i="4" s="1"/>
  <c r="I22" i="4" s="1"/>
  <c r="E21" i="4"/>
  <c r="I6" i="4" l="1"/>
  <c r="M6" i="4" s="1"/>
  <c r="N6" i="4" s="1"/>
  <c r="E6" i="4"/>
  <c r="G6" i="4" s="1"/>
  <c r="H6" i="4" s="1"/>
  <c r="Q6" i="4" s="1"/>
  <c r="D7" i="4"/>
  <c r="J22" i="4"/>
  <c r="K22" i="4" s="1"/>
  <c r="D23" i="4"/>
  <c r="F23" i="4" s="1"/>
  <c r="I23" i="4" s="1"/>
  <c r="E22" i="4"/>
  <c r="I7" i="4" l="1"/>
  <c r="M7" i="4" s="1"/>
  <c r="N7" i="4" s="1"/>
  <c r="E7" i="4"/>
  <c r="G7" i="4" s="1"/>
  <c r="H7" i="4" s="1"/>
  <c r="Q7" i="4" s="1"/>
  <c r="D8" i="4"/>
  <c r="J23" i="4"/>
  <c r="K23" i="4" s="1"/>
  <c r="D24" i="4"/>
  <c r="F24" i="4" s="1"/>
  <c r="I24" i="4" s="1"/>
  <c r="E23" i="4"/>
  <c r="I8" i="4" l="1"/>
  <c r="M8" i="4" s="1"/>
  <c r="N8" i="4" s="1"/>
  <c r="E8" i="4"/>
  <c r="G8" i="4" s="1"/>
  <c r="H8" i="4" s="1"/>
  <c r="Q8" i="4" s="1"/>
  <c r="D9" i="4"/>
  <c r="J24" i="4"/>
  <c r="K24" i="4" s="1"/>
  <c r="D25" i="4"/>
  <c r="E24" i="4"/>
  <c r="I9" i="4" l="1"/>
  <c r="M9" i="4" s="1"/>
  <c r="N9" i="4" s="1"/>
  <c r="D10" i="4"/>
  <c r="E9" i="4"/>
  <c r="G9" i="4" s="1"/>
  <c r="H9" i="4" s="1"/>
  <c r="Q9" i="4" s="1"/>
  <c r="E25" i="4"/>
  <c r="F25" i="4"/>
  <c r="I25" i="4" s="1"/>
  <c r="D11" i="4" l="1"/>
  <c r="E10" i="4"/>
  <c r="G10" i="4" s="1"/>
  <c r="H10" i="4" s="1"/>
  <c r="Q10" i="4" s="1"/>
  <c r="I10" i="4"/>
  <c r="M10" i="4" s="1"/>
  <c r="N10" i="4" s="1"/>
  <c r="J25" i="4"/>
  <c r="K25" i="4"/>
  <c r="E11" i="4" l="1"/>
  <c r="G11" i="4" s="1"/>
  <c r="H11" i="4" s="1"/>
  <c r="Q11" i="4" s="1"/>
  <c r="I11" i="4"/>
  <c r="M11" i="4" s="1"/>
  <c r="N11" i="4" s="1"/>
</calcChain>
</file>

<file path=xl/sharedStrings.xml><?xml version="1.0" encoding="utf-8"?>
<sst xmlns="http://schemas.openxmlformats.org/spreadsheetml/2006/main" count="55" uniqueCount="37">
  <si>
    <t>Spread</t>
  </si>
  <si>
    <t>AAA</t>
  </si>
  <si>
    <t>A+</t>
  </si>
  <si>
    <t>A</t>
  </si>
  <si>
    <t>A-</t>
  </si>
  <si>
    <t>BBB</t>
  </si>
  <si>
    <t>$ Debt</t>
  </si>
  <si>
    <t>$ Interest</t>
  </si>
  <si>
    <t>Tax Benefits</t>
  </si>
  <si>
    <t>β unlevered</t>
  </si>
  <si>
    <t>Tax rate</t>
  </si>
  <si>
    <t>Rf</t>
  </si>
  <si>
    <t>ERP</t>
  </si>
  <si>
    <t>Market Value of Equity</t>
  </si>
  <si>
    <t>Market Value of Debt</t>
  </si>
  <si>
    <t>Kd pretax</t>
  </si>
  <si>
    <t>EBIT (Trailing)</t>
  </si>
  <si>
    <t>D&amp;A (Trailing)</t>
  </si>
  <si>
    <t>CAPEX (Trailing)</t>
  </si>
  <si>
    <t>Prob. Default</t>
  </si>
  <si>
    <t>Bankru. Costs</t>
  </si>
  <si>
    <t>β levered</t>
  </si>
  <si>
    <t>k levered</t>
  </si>
  <si>
    <t>Rating</t>
  </si>
  <si>
    <t>Enterprise Value</t>
  </si>
  <si>
    <t>Interest Rate</t>
  </si>
  <si>
    <t>ICR = EBIT Trailing Adjusted</t>
  </si>
  <si>
    <t>AA</t>
  </si>
  <si>
    <t>kd x (1- t)</t>
  </si>
  <si>
    <t>B-</t>
  </si>
  <si>
    <t>WACC</t>
  </si>
  <si>
    <t>Pr. Default</t>
  </si>
  <si>
    <t>Bankrupcty Costs</t>
  </si>
  <si>
    <t>Inputs</t>
  </si>
  <si>
    <t xml:space="preserve">Value </t>
  </si>
  <si>
    <t>D/(D+E)</t>
  </si>
  <si>
    <t>D/E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</si>
</sst>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2" fontId="0" fillId="0" borderId="0" xfId="0" applyNumberFormat="1" applyAlignment="1">
      <alignment horizontal="center"/>
    </xf>
    <xf numFmtId="44" fontId="0" fillId="0" borderId="0" xfId="3" applyFont="1"/>
    <xf numFmtId="0" fontId="0" fillId="0" borderId="0" xfId="0" applyAlignment="1">
      <alignment horizontal="right"/>
    </xf>
    <xf numFmtId="10" fontId="4" fillId="2" borderId="0" xfId="1" applyNumberFormat="1" applyFont="1" applyFill="1"/>
    <xf numFmtId="44" fontId="3" fillId="2" borderId="0" xfId="3" applyFont="1" applyFill="1"/>
    <xf numFmtId="44" fontId="4" fillId="2" borderId="0" xfId="0" applyNumberFormat="1" applyFont="1" applyFill="1"/>
  </cellXfs>
  <cellStyles count="4">
    <cellStyle name="Currency" xfId="3" builtinId="4"/>
    <cellStyle name="Normal" xfId="0" builtinId="0"/>
    <cellStyle name="Normal 3 2" xfId="2" xr:uid="{35EA5072-7572-486A-A5F5-0953583A432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5C67-E86F-410B-A4A2-F28DC25D1B03}">
  <dimension ref="A1:Q25"/>
  <sheetViews>
    <sheetView tabSelected="1" zoomScaleNormal="100" workbookViewId="0">
      <selection activeCell="I14" sqref="I14"/>
    </sheetView>
  </sheetViews>
  <sheetFormatPr defaultRowHeight="15" x14ac:dyDescent="0.25"/>
  <cols>
    <col min="1" max="1" width="21.5703125" bestFit="1" customWidth="1"/>
    <col min="2" max="2" width="7" bestFit="1" customWidth="1"/>
    <col min="3" max="3" width="6.140625" customWidth="1"/>
    <col min="4" max="4" width="8.85546875" customWidth="1"/>
    <col min="5" max="5" width="8.42578125" customWidth="1"/>
    <col min="6" max="6" width="11.28515625" bestFit="1" customWidth="1"/>
    <col min="7" max="7" width="8.7109375" customWidth="1"/>
    <col min="9" max="9" width="12.140625" customWidth="1"/>
    <col min="10" max="10" width="16.140625" bestFit="1" customWidth="1"/>
    <col min="11" max="11" width="12.85546875" bestFit="1" customWidth="1"/>
    <col min="12" max="12" width="12.42578125" bestFit="1" customWidth="1"/>
    <col min="13" max="13" width="11.140625" bestFit="1" customWidth="1"/>
    <col min="15" max="15" width="9.28515625" customWidth="1"/>
    <col min="16" max="16" width="1.42578125" customWidth="1"/>
    <col min="17" max="17" width="8.42578125" bestFit="1" customWidth="1"/>
  </cols>
  <sheetData>
    <row r="1" spans="1:17" x14ac:dyDescent="0.25">
      <c r="A1" t="s">
        <v>33</v>
      </c>
      <c r="D1" s="2" t="s">
        <v>35</v>
      </c>
      <c r="E1" s="2" t="s">
        <v>36</v>
      </c>
      <c r="F1" t="s">
        <v>9</v>
      </c>
      <c r="G1" t="s">
        <v>21</v>
      </c>
      <c r="H1" t="s">
        <v>22</v>
      </c>
      <c r="I1" s="2" t="s">
        <v>6</v>
      </c>
      <c r="J1" t="s">
        <v>23</v>
      </c>
      <c r="K1" t="s">
        <v>0</v>
      </c>
      <c r="L1" t="s">
        <v>25</v>
      </c>
      <c r="M1" t="s">
        <v>7</v>
      </c>
      <c r="N1" t="s">
        <v>26</v>
      </c>
      <c r="O1" s="2" t="s">
        <v>28</v>
      </c>
      <c r="Q1" t="s">
        <v>30</v>
      </c>
    </row>
    <row r="2" spans="1:17" x14ac:dyDescent="0.25">
      <c r="A2" t="s">
        <v>9</v>
      </c>
      <c r="B2">
        <v>0.73329999999999995</v>
      </c>
      <c r="D2" s="4">
        <v>0</v>
      </c>
      <c r="E2" s="3">
        <f t="shared" ref="E2:E11" si="0">D2/(1-D2)</f>
        <v>0</v>
      </c>
      <c r="F2" s="2">
        <v>0.73329999999999995</v>
      </c>
      <c r="G2" s="6">
        <f>F2*(1+E2)</f>
        <v>0.73329999999999995</v>
      </c>
      <c r="H2" s="4">
        <f>$B$4+G2*$B$5</f>
        <v>7.8997999999999999E-2</v>
      </c>
      <c r="I2" s="7">
        <f>$B$15*D2</f>
        <v>0</v>
      </c>
      <c r="J2" s="8" t="s">
        <v>1</v>
      </c>
      <c r="K2" s="4">
        <v>6.8999999999999999E-3</v>
      </c>
      <c r="L2" s="3">
        <f>K2+$B$4</f>
        <v>4.1900000000000007E-2</v>
      </c>
      <c r="M2" s="5">
        <f t="shared" ref="M2:M11" si="1">I2*L2</f>
        <v>0</v>
      </c>
      <c r="Q2" s="4">
        <f>H2*(1-D2)+O2*D2</f>
        <v>7.8997999999999999E-2</v>
      </c>
    </row>
    <row r="3" spans="1:17" x14ac:dyDescent="0.25">
      <c r="A3" t="s">
        <v>10</v>
      </c>
      <c r="B3">
        <v>0.38</v>
      </c>
      <c r="D3" s="3">
        <f>D2+0.1</f>
        <v>0.1</v>
      </c>
      <c r="E3" s="3">
        <f t="shared" si="0"/>
        <v>0.11111111111111112</v>
      </c>
      <c r="F3" s="2">
        <v>0.73329999999999995</v>
      </c>
      <c r="G3" s="6">
        <f t="shared" ref="G3:G11" si="2">F3*(1+E3)</f>
        <v>0.81477777777777771</v>
      </c>
      <c r="H3" s="4">
        <f>$B$4+G3*$B$5</f>
        <v>8.3886666666666665E-2</v>
      </c>
      <c r="I3" s="7">
        <f>$B$15*D3</f>
        <v>6187.5</v>
      </c>
      <c r="J3" s="8" t="s">
        <v>1</v>
      </c>
      <c r="K3" s="4">
        <v>6.8999999999999999E-3</v>
      </c>
      <c r="L3" s="3">
        <f>K3+$B$4</f>
        <v>4.1900000000000007E-2</v>
      </c>
      <c r="M3" s="5">
        <f t="shared" si="1"/>
        <v>259.25625000000002</v>
      </c>
      <c r="N3" s="1">
        <f>$B$9/M3</f>
        <v>25.071719582459437</v>
      </c>
      <c r="O3" s="4">
        <f>L3*(1-$B$3)</f>
        <v>2.5978000000000005E-2</v>
      </c>
      <c r="Q3" s="4">
        <f t="shared" ref="Q2:Q11" si="3">H3*(1-D3)+O3*D3</f>
        <v>7.8095799999999993E-2</v>
      </c>
    </row>
    <row r="4" spans="1:17" x14ac:dyDescent="0.25">
      <c r="A4" t="s">
        <v>11</v>
      </c>
      <c r="B4">
        <v>3.5000000000000003E-2</v>
      </c>
      <c r="D4" s="3">
        <f t="shared" ref="D4:D9" si="4">D3+0.1</f>
        <v>0.2</v>
      </c>
      <c r="E4" s="3">
        <f t="shared" si="0"/>
        <v>0.25</v>
      </c>
      <c r="F4" s="2">
        <v>0.73329999999999995</v>
      </c>
      <c r="G4" s="6">
        <f t="shared" si="2"/>
        <v>0.91662499999999991</v>
      </c>
      <c r="H4" s="4">
        <f>$B$4+G4*$B$5</f>
        <v>8.9997499999999994E-2</v>
      </c>
      <c r="I4" s="7">
        <f>$B$15*D4</f>
        <v>12375</v>
      </c>
      <c r="J4" s="8" t="s">
        <v>1</v>
      </c>
      <c r="K4" s="4">
        <v>6.8999999999999999E-3</v>
      </c>
      <c r="L4" s="3">
        <f>K4+$B$4</f>
        <v>4.1900000000000007E-2</v>
      </c>
      <c r="M4" s="5">
        <f t="shared" si="1"/>
        <v>518.51250000000005</v>
      </c>
      <c r="N4" s="1">
        <f>$B$9/M4</f>
        <v>12.535859791229718</v>
      </c>
      <c r="O4" s="4">
        <f>L4*(1-$B$3)</f>
        <v>2.5978000000000005E-2</v>
      </c>
      <c r="Q4" s="4">
        <f t="shared" si="3"/>
        <v>7.7193600000000001E-2</v>
      </c>
    </row>
    <row r="5" spans="1:17" x14ac:dyDescent="0.25">
      <c r="A5" t="s">
        <v>12</v>
      </c>
      <c r="B5">
        <v>0.06</v>
      </c>
      <c r="D5" s="3">
        <f t="shared" si="4"/>
        <v>0.30000000000000004</v>
      </c>
      <c r="E5" s="3">
        <f t="shared" si="0"/>
        <v>0.42857142857142866</v>
      </c>
      <c r="F5" s="2">
        <v>0.73329999999999995</v>
      </c>
      <c r="G5" s="6">
        <f t="shared" si="2"/>
        <v>1.0475714285714286</v>
      </c>
      <c r="H5" s="4">
        <f>$B$4+G5*$B$5</f>
        <v>9.7854285714285713E-2</v>
      </c>
      <c r="I5" s="7">
        <f>$B$15*D5</f>
        <v>18562.500000000004</v>
      </c>
      <c r="J5" s="8" t="s">
        <v>27</v>
      </c>
      <c r="K5" s="3">
        <v>8.5000000000000006E-3</v>
      </c>
      <c r="L5" s="3">
        <f>K5+$B$4</f>
        <v>4.3500000000000004E-2</v>
      </c>
      <c r="M5" s="5">
        <f t="shared" si="1"/>
        <v>807.46875000000023</v>
      </c>
      <c r="N5" s="1">
        <f>$B$9/M5</f>
        <v>8.0498471303068975</v>
      </c>
      <c r="O5" s="4">
        <f>L5*(1-$B$3)</f>
        <v>2.6970000000000001E-2</v>
      </c>
      <c r="Q5" s="4">
        <f t="shared" si="3"/>
        <v>7.658899999999999E-2</v>
      </c>
    </row>
    <row r="6" spans="1:17" x14ac:dyDescent="0.25">
      <c r="A6" t="s">
        <v>13</v>
      </c>
      <c r="B6">
        <v>45193</v>
      </c>
      <c r="D6" s="3">
        <f t="shared" si="4"/>
        <v>0.4</v>
      </c>
      <c r="E6" s="3">
        <f t="shared" si="0"/>
        <v>0.66666666666666674</v>
      </c>
      <c r="F6" s="2">
        <v>0.73329999999999995</v>
      </c>
      <c r="G6" s="6">
        <f t="shared" si="2"/>
        <v>1.2221666666666666</v>
      </c>
      <c r="H6" s="4">
        <f>$B$4+G6*$B$5</f>
        <v>0.10833</v>
      </c>
      <c r="I6" s="7">
        <f>$B$15*D6</f>
        <v>24750</v>
      </c>
      <c r="J6" s="8" t="s">
        <v>2</v>
      </c>
      <c r="K6" s="3">
        <v>1.0699999999999999E-2</v>
      </c>
      <c r="L6" s="3">
        <f>K6+$B$4</f>
        <v>4.5700000000000005E-2</v>
      </c>
      <c r="M6" s="5">
        <f t="shared" si="1"/>
        <v>1131.075</v>
      </c>
      <c r="N6" s="1">
        <f>$B$9/M6</f>
        <v>5.7467453528722672</v>
      </c>
      <c r="O6" s="4">
        <f>L6*(1-$B$3)</f>
        <v>2.8334000000000002E-2</v>
      </c>
      <c r="Q6" s="4">
        <f t="shared" si="3"/>
        <v>7.6331599999999999E-2</v>
      </c>
    </row>
    <row r="7" spans="1:17" x14ac:dyDescent="0.25">
      <c r="A7" t="s">
        <v>14</v>
      </c>
      <c r="B7">
        <v>16682</v>
      </c>
      <c r="D7" s="3">
        <f t="shared" si="4"/>
        <v>0.5</v>
      </c>
      <c r="E7" s="3">
        <f t="shared" si="0"/>
        <v>1</v>
      </c>
      <c r="F7" s="2">
        <v>0.73329999999999995</v>
      </c>
      <c r="G7" s="6">
        <f t="shared" si="2"/>
        <v>1.4665999999999999</v>
      </c>
      <c r="H7" s="4">
        <f>$B$4+G7*$B$5</f>
        <v>0.12299599999999999</v>
      </c>
      <c r="I7" s="7">
        <f>$B$15*D7</f>
        <v>30937.5</v>
      </c>
      <c r="J7" s="8" t="s">
        <v>3</v>
      </c>
      <c r="K7" s="3">
        <v>1.18E-2</v>
      </c>
      <c r="L7" s="3">
        <f>K7+$B$4</f>
        <v>4.6800000000000001E-2</v>
      </c>
      <c r="M7" s="5">
        <f t="shared" si="1"/>
        <v>1447.875</v>
      </c>
      <c r="N7" s="1">
        <f>$B$9/M7</f>
        <v>4.489337822671156</v>
      </c>
      <c r="O7" s="4">
        <f>L7*(1-$B$3)</f>
        <v>2.9016E-2</v>
      </c>
      <c r="Q7" s="4">
        <f t="shared" si="3"/>
        <v>7.600599999999999E-2</v>
      </c>
    </row>
    <row r="8" spans="1:17" x14ac:dyDescent="0.25">
      <c r="A8" t="s">
        <v>15</v>
      </c>
      <c r="B8">
        <v>0.06</v>
      </c>
      <c r="D8" s="3">
        <f t="shared" si="4"/>
        <v>0.6</v>
      </c>
      <c r="E8" s="3">
        <f t="shared" si="0"/>
        <v>1.4999999999999998</v>
      </c>
      <c r="F8" s="2">
        <v>0.73329999999999995</v>
      </c>
      <c r="G8" s="6">
        <f t="shared" si="2"/>
        <v>1.8332499999999998</v>
      </c>
      <c r="H8" s="4">
        <f>$B$4+G8*$B$5</f>
        <v>0.14499499999999999</v>
      </c>
      <c r="I8" s="7">
        <f>$B$15*D8</f>
        <v>37125</v>
      </c>
      <c r="J8" s="8" t="s">
        <v>4</v>
      </c>
      <c r="K8" s="3">
        <v>1.3299999999999999E-2</v>
      </c>
      <c r="L8" s="3">
        <f>K8+$B$4</f>
        <v>4.8300000000000003E-2</v>
      </c>
      <c r="M8" s="5">
        <f t="shared" si="1"/>
        <v>1793.1375</v>
      </c>
      <c r="N8" s="1">
        <f>$B$9/M8</f>
        <v>3.6249311611630453</v>
      </c>
      <c r="O8" s="4">
        <f>L8*(1-$B$3)</f>
        <v>2.9946E-2</v>
      </c>
      <c r="Q8" s="4">
        <f t="shared" si="3"/>
        <v>7.5965599999999994E-2</v>
      </c>
    </row>
    <row r="9" spans="1:17" x14ac:dyDescent="0.25">
      <c r="A9" t="s">
        <v>16</v>
      </c>
      <c r="B9">
        <v>6500</v>
      </c>
      <c r="D9" s="3">
        <f t="shared" si="4"/>
        <v>0.7</v>
      </c>
      <c r="E9" s="3">
        <f t="shared" si="0"/>
        <v>2.333333333333333</v>
      </c>
      <c r="F9" s="2">
        <v>0.73329999999999995</v>
      </c>
      <c r="G9" s="6">
        <f t="shared" si="2"/>
        <v>2.4443333333333328</v>
      </c>
      <c r="H9" s="4">
        <f>$B$4+G9*$B$5</f>
        <v>0.18165999999999996</v>
      </c>
      <c r="I9" s="7">
        <f>$B$15*D9</f>
        <v>43312.5</v>
      </c>
      <c r="J9" s="8" t="s">
        <v>4</v>
      </c>
      <c r="K9" s="3">
        <v>1.3299999999999999E-2</v>
      </c>
      <c r="L9" s="3">
        <f>K9+$B$4</f>
        <v>4.8300000000000003E-2</v>
      </c>
      <c r="M9" s="5">
        <f t="shared" si="1"/>
        <v>2091.9937500000001</v>
      </c>
      <c r="N9" s="1">
        <f>$B$9/M9</f>
        <v>3.1070838524254674</v>
      </c>
      <c r="O9" s="4">
        <f>L9*(1-$B$3)</f>
        <v>2.9946E-2</v>
      </c>
      <c r="Q9" s="9">
        <f t="shared" si="3"/>
        <v>7.5460200000000005E-2</v>
      </c>
    </row>
    <row r="10" spans="1:17" x14ac:dyDescent="0.25">
      <c r="A10" t="s">
        <v>17</v>
      </c>
      <c r="B10">
        <v>1693</v>
      </c>
      <c r="D10" s="3">
        <f>D9+0.1</f>
        <v>0.79999999999999993</v>
      </c>
      <c r="E10" s="3">
        <f t="shared" si="0"/>
        <v>3.9999999999999982</v>
      </c>
      <c r="F10" s="2">
        <v>0.73329999999999995</v>
      </c>
      <c r="G10" s="6">
        <f t="shared" si="2"/>
        <v>3.6664999999999983</v>
      </c>
      <c r="H10" s="4">
        <f>$B$4+G10*$B$5</f>
        <v>0.25498999999999988</v>
      </c>
      <c r="I10" s="7">
        <f>$B$15*D10</f>
        <v>49499.999999999993</v>
      </c>
      <c r="J10" s="8" t="s">
        <v>5</v>
      </c>
      <c r="K10" s="3">
        <v>1.7100000000000001E-2</v>
      </c>
      <c r="L10" s="3">
        <f>K10+$B$4</f>
        <v>5.2100000000000007E-2</v>
      </c>
      <c r="M10" s="5">
        <f t="shared" si="1"/>
        <v>2578.9499999999998</v>
      </c>
      <c r="N10" s="1">
        <f>$B$9/M10</f>
        <v>2.520405591422866</v>
      </c>
      <c r="O10" s="4">
        <f>L10*(1-$B$3)</f>
        <v>3.2302000000000004E-2</v>
      </c>
      <c r="Q10" s="4">
        <f t="shared" si="3"/>
        <v>7.6839599999999994E-2</v>
      </c>
    </row>
    <row r="11" spans="1:17" x14ac:dyDescent="0.25">
      <c r="A11" t="s">
        <v>18</v>
      </c>
      <c r="B11">
        <v>1628</v>
      </c>
      <c r="D11" s="3">
        <f>D10+0.1</f>
        <v>0.89999999999999991</v>
      </c>
      <c r="E11" s="3">
        <f t="shared" si="0"/>
        <v>8.9999999999999911</v>
      </c>
      <c r="F11" s="2">
        <v>0.73329999999999995</v>
      </c>
      <c r="G11" s="6">
        <f t="shared" si="2"/>
        <v>7.3329999999999931</v>
      </c>
      <c r="H11" s="4">
        <f>$B$4+G11*$B$5</f>
        <v>0.47497999999999962</v>
      </c>
      <c r="I11" s="7">
        <f>$B$15*D11</f>
        <v>55687.499999999993</v>
      </c>
      <c r="J11" s="8" t="s">
        <v>29</v>
      </c>
      <c r="K11" s="3">
        <v>5.9400000000000001E-2</v>
      </c>
      <c r="L11" s="3">
        <f>K11+$B$4</f>
        <v>9.4400000000000012E-2</v>
      </c>
      <c r="M11" s="5">
        <f t="shared" si="1"/>
        <v>5256.9</v>
      </c>
      <c r="N11" s="1">
        <f>$B$9/M11</f>
        <v>1.2364701630238355</v>
      </c>
      <c r="O11" s="4">
        <f>L11*(1-$B$3)</f>
        <v>5.8528000000000004E-2</v>
      </c>
      <c r="Q11" s="4">
        <f t="shared" si="3"/>
        <v>0.1001732</v>
      </c>
    </row>
    <row r="12" spans="1:17" x14ac:dyDescent="0.25">
      <c r="A12" t="s">
        <v>19</v>
      </c>
      <c r="B12">
        <v>6.6E-3</v>
      </c>
    </row>
    <row r="13" spans="1:17" x14ac:dyDescent="0.25">
      <c r="A13" t="s">
        <v>20</v>
      </c>
      <c r="B13">
        <v>0.25</v>
      </c>
    </row>
    <row r="15" spans="1:17" x14ac:dyDescent="0.25">
      <c r="A15" t="s">
        <v>24</v>
      </c>
      <c r="B15">
        <f>B6+B7</f>
        <v>61875</v>
      </c>
      <c r="D15" s="2" t="s">
        <v>35</v>
      </c>
      <c r="E15" s="2" t="s">
        <v>36</v>
      </c>
      <c r="F15" s="2" t="s">
        <v>6</v>
      </c>
      <c r="G15" t="s">
        <v>23</v>
      </c>
      <c r="H15" s="2" t="s">
        <v>31</v>
      </c>
      <c r="I15" s="2" t="s">
        <v>8</v>
      </c>
      <c r="J15" s="2" t="s">
        <v>32</v>
      </c>
      <c r="K15" s="2" t="s">
        <v>34</v>
      </c>
    </row>
    <row r="16" spans="1:17" x14ac:dyDescent="0.25">
      <c r="A16" s="4"/>
      <c r="D16" s="4">
        <v>0</v>
      </c>
      <c r="E16" s="3">
        <f t="shared" ref="E16:E25" si="5">D16/(1-D16)</f>
        <v>0</v>
      </c>
      <c r="F16" s="7">
        <f>$B$15*D16</f>
        <v>0</v>
      </c>
      <c r="G16" s="8" t="s">
        <v>1</v>
      </c>
      <c r="H16" s="3">
        <v>0</v>
      </c>
      <c r="I16" s="5">
        <f>$B$3*F16</f>
        <v>0</v>
      </c>
      <c r="J16" s="5">
        <f>(K16+I16)*H16*$B$13</f>
        <v>0</v>
      </c>
      <c r="K16" s="10">
        <f>B15-B3*B7+B12*B13*B15</f>
        <v>55637.933749999997</v>
      </c>
      <c r="M16" s="5"/>
    </row>
    <row r="17" spans="4:13" x14ac:dyDescent="0.25">
      <c r="D17" s="3">
        <f>D16+0.1</f>
        <v>0.1</v>
      </c>
      <c r="E17" s="3">
        <f t="shared" si="5"/>
        <v>0.11111111111111112</v>
      </c>
      <c r="F17" s="7">
        <f>$B$15*D17</f>
        <v>6187.5</v>
      </c>
      <c r="G17" s="8" t="s">
        <v>1</v>
      </c>
      <c r="H17" s="3">
        <v>6.9999999999999999E-4</v>
      </c>
      <c r="I17" s="5">
        <f>$B$3*F17</f>
        <v>2351.25</v>
      </c>
      <c r="J17" s="5">
        <f>($K$16+I17)*H17*$B$13</f>
        <v>10.148107156249999</v>
      </c>
      <c r="K17" s="5">
        <f t="shared" ref="K17:K25" si="6">$K$16+I17-J17</f>
        <v>57979.035642843744</v>
      </c>
      <c r="M17" s="5"/>
    </row>
    <row r="18" spans="4:13" x14ac:dyDescent="0.25">
      <c r="D18" s="3">
        <f t="shared" ref="D18:D23" si="7">D17+0.1</f>
        <v>0.2</v>
      </c>
      <c r="E18" s="3">
        <f t="shared" si="5"/>
        <v>0.25</v>
      </c>
      <c r="F18" s="7">
        <f>$B$15*D18</f>
        <v>12375</v>
      </c>
      <c r="G18" s="8" t="s">
        <v>1</v>
      </c>
      <c r="H18" s="3">
        <v>6.9999999999999999E-4</v>
      </c>
      <c r="I18" s="5">
        <f>$B$3*F18</f>
        <v>4702.5</v>
      </c>
      <c r="J18" s="5">
        <f>($K$16+I18)*H18*$B$13</f>
        <v>10.55957590625</v>
      </c>
      <c r="K18" s="5">
        <f t="shared" si="6"/>
        <v>60329.874174093748</v>
      </c>
      <c r="M18" s="5"/>
    </row>
    <row r="19" spans="4:13" x14ac:dyDescent="0.25">
      <c r="D19" s="3">
        <f t="shared" si="7"/>
        <v>0.30000000000000004</v>
      </c>
      <c r="E19" s="3">
        <f t="shared" si="5"/>
        <v>0.42857142857142866</v>
      </c>
      <c r="F19" s="7">
        <f>$B$15*D19</f>
        <v>18562.500000000004</v>
      </c>
      <c r="G19" s="8" t="s">
        <v>27</v>
      </c>
      <c r="H19" s="3">
        <v>5.1000000000000004E-3</v>
      </c>
      <c r="I19" s="5">
        <f>$B$3*F19</f>
        <v>7053.7500000000018</v>
      </c>
      <c r="J19" s="5">
        <f>($K$16+I19)*H19*$B$13</f>
        <v>79.931896781250003</v>
      </c>
      <c r="K19" s="5">
        <f t="shared" si="6"/>
        <v>62611.751853218746</v>
      </c>
      <c r="M19" s="5"/>
    </row>
    <row r="20" spans="4:13" x14ac:dyDescent="0.25">
      <c r="D20" s="3">
        <f t="shared" si="7"/>
        <v>0.4</v>
      </c>
      <c r="E20" s="3">
        <f t="shared" si="5"/>
        <v>0.66666666666666674</v>
      </c>
      <c r="F20" s="7">
        <f>$B$15*D20</f>
        <v>24750</v>
      </c>
      <c r="G20" s="8" t="s">
        <v>2</v>
      </c>
      <c r="H20" s="3">
        <v>6.0000000000000001E-3</v>
      </c>
      <c r="I20" s="5">
        <f>$B$3*F20</f>
        <v>9405</v>
      </c>
      <c r="J20" s="5">
        <f>($K$16+I20)*H20*$B$13</f>
        <v>97.56440062499999</v>
      </c>
      <c r="K20" s="5">
        <f t="shared" si="6"/>
        <v>64945.369349374996</v>
      </c>
      <c r="M20" s="5"/>
    </row>
    <row r="21" spans="4:13" x14ac:dyDescent="0.25">
      <c r="D21" s="3">
        <f t="shared" si="7"/>
        <v>0.5</v>
      </c>
      <c r="E21" s="3">
        <f t="shared" si="5"/>
        <v>1</v>
      </c>
      <c r="F21" s="7">
        <f>$B$15*D21</f>
        <v>30937.5</v>
      </c>
      <c r="G21" s="8" t="s">
        <v>3</v>
      </c>
      <c r="H21" s="3">
        <v>6.6E-3</v>
      </c>
      <c r="I21" s="5">
        <f>$B$3*F21</f>
        <v>11756.25</v>
      </c>
      <c r="J21" s="5">
        <f>($K$16+I21)*H21*$B$13</f>
        <v>111.20040318749999</v>
      </c>
      <c r="K21" s="5">
        <f t="shared" si="6"/>
        <v>67282.9833468125</v>
      </c>
      <c r="M21" s="5"/>
    </row>
    <row r="22" spans="4:13" x14ac:dyDescent="0.25">
      <c r="D22" s="3">
        <f t="shared" si="7"/>
        <v>0.6</v>
      </c>
      <c r="E22" s="3">
        <f t="shared" si="5"/>
        <v>1.4999999999999998</v>
      </c>
      <c r="F22" s="7">
        <f>$B$15*D22</f>
        <v>37125</v>
      </c>
      <c r="G22" s="8" t="s">
        <v>4</v>
      </c>
      <c r="H22" s="3">
        <v>2.5000000000000001E-2</v>
      </c>
      <c r="I22" s="5">
        <f>$B$3*F22</f>
        <v>14107.5</v>
      </c>
      <c r="J22" s="5">
        <f>($K$16+I22)*H22*$B$13</f>
        <v>435.90896093750001</v>
      </c>
      <c r="K22" s="5">
        <f t="shared" si="6"/>
        <v>69309.524789062503</v>
      </c>
      <c r="M22" s="5"/>
    </row>
    <row r="23" spans="4:13" x14ac:dyDescent="0.25">
      <c r="D23" s="3">
        <f t="shared" si="7"/>
        <v>0.7</v>
      </c>
      <c r="E23" s="3">
        <f t="shared" si="5"/>
        <v>2.333333333333333</v>
      </c>
      <c r="F23" s="7">
        <f>$B$15*D23</f>
        <v>43312.5</v>
      </c>
      <c r="G23" s="8" t="s">
        <v>4</v>
      </c>
      <c r="H23" s="3">
        <v>2.5000000000000001E-2</v>
      </c>
      <c r="I23" s="5">
        <f>$B$3*F23</f>
        <v>16458.75</v>
      </c>
      <c r="J23" s="5">
        <f>($K$16+I23)*H23*$B$13</f>
        <v>450.60427343750001</v>
      </c>
      <c r="K23" s="5">
        <f t="shared" si="6"/>
        <v>71646.079476562503</v>
      </c>
      <c r="M23" s="5"/>
    </row>
    <row r="24" spans="4:13" x14ac:dyDescent="0.25">
      <c r="D24" s="3">
        <f>D23+0.1</f>
        <v>0.79999999999999993</v>
      </c>
      <c r="E24" s="3">
        <f t="shared" si="5"/>
        <v>3.9999999999999982</v>
      </c>
      <c r="F24" s="7">
        <f>$B$15*D24</f>
        <v>49499.999999999993</v>
      </c>
      <c r="G24" s="8" t="s">
        <v>5</v>
      </c>
      <c r="H24" s="3">
        <v>7.5399999999999995E-2</v>
      </c>
      <c r="I24" s="5">
        <f>$B$3*F24</f>
        <v>18809.999999999996</v>
      </c>
      <c r="J24" s="5">
        <f>($K$16+I24)*H24*$B$13</f>
        <v>1403.3435511874998</v>
      </c>
      <c r="K24" s="11">
        <f t="shared" si="6"/>
        <v>73044.590198812497</v>
      </c>
      <c r="M24" s="5"/>
    </row>
    <row r="25" spans="4:13" x14ac:dyDescent="0.25">
      <c r="D25" s="3">
        <f>D24+0.1</f>
        <v>0.89999999999999991</v>
      </c>
      <c r="E25" s="3">
        <f t="shared" si="5"/>
        <v>8.9999999999999911</v>
      </c>
      <c r="F25" s="7">
        <f>$B$15*D25</f>
        <v>55687.499999999993</v>
      </c>
      <c r="G25" s="8" t="s">
        <v>29</v>
      </c>
      <c r="H25" s="3">
        <v>0.45</v>
      </c>
      <c r="I25" s="5">
        <f>$B$3*F25</f>
        <v>21161.249999999996</v>
      </c>
      <c r="J25" s="5">
        <f>($K$16+I25)*H25*$B$13</f>
        <v>8639.9081718750003</v>
      </c>
      <c r="K25" s="5">
        <f t="shared" si="6"/>
        <v>68159.275578125002</v>
      </c>
      <c r="M25" s="5"/>
    </row>
  </sheetData>
  <pageMargins left="0" right="0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Stefano Rossi</cp:lastModifiedBy>
  <cp:lastPrinted>2026-09-30T07:49:19Z</cp:lastPrinted>
  <dcterms:created xsi:type="dcterms:W3CDTF">2023-09-27T21:16:18Z</dcterms:created>
  <dcterms:modified xsi:type="dcterms:W3CDTF">2026-10-07T13:34:40Z</dcterms:modified>
</cp:coreProperties>
</file>