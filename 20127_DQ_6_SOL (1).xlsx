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udioghittieassociati448-my.sharepoint.com/personal/ronny_zappella_sgea_eu/Documents/Documents/Documenti/Università/Corsi/20127/2026-2027/Slides/DDM/"/>
    </mc:Choice>
  </mc:AlternateContent>
  <xr:revisionPtr revIDLastSave="764" documentId="11_97EE762D70590A2F06590CE453D7F455D12525C6" xr6:coauthVersionLast="47" xr6:coauthVersionMax="47" xr10:uidLastSave="{5BC4EFDE-6912-4119-8D65-9650E22723E0}"/>
  <bookViews>
    <workbookView minimized="1" xWindow="3840" yWindow="2988" windowWidth="17280" windowHeight="8880" activeTab="3" xr2:uid="{00000000-000D-0000-FFFF-FFFF00000000}"/>
  </bookViews>
  <sheets>
    <sheet name="Ex_1" sheetId="35" r:id="rId1"/>
    <sheet name="Ex_2" sheetId="36" r:id="rId2"/>
    <sheet name="6.1" sheetId="31" r:id="rId3"/>
    <sheet name="6.2-3" sheetId="32" r:id="rId4"/>
    <sheet name="6.4" sheetId="34" r:id="rId5"/>
    <sheet name="6.5" sheetId="3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C" hidden="1">[1]CFIX!#REF!</definedName>
    <definedName name="__123Graph_D" hidden="1">[1]CFIX!#REF!</definedName>
    <definedName name="__123Graph_E" hidden="1">[1]CFIX!#REF!</definedName>
    <definedName name="__123Graph_F" hidden="1">[1]CFIX!#REF!</definedName>
    <definedName name="_BQ4.2" hidden="1">#REF!</definedName>
    <definedName name="_Fill" hidden="1">[2]LORDE!#REF!</definedName>
    <definedName name="_Order1" hidden="1">255</definedName>
    <definedName name="_Regression_Out" hidden="1">[3]Investimento!$AR$170</definedName>
    <definedName name="_Sort" hidden="1">#REF!</definedName>
    <definedName name="_UUID_" hidden="1">1466805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'[4]Beta storici VS mib30'!#REF!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7" hidden="1">#REF!</definedName>
    <definedName name="BLPH8" hidden="1">#REF!</definedName>
    <definedName name="BLPH9" hidden="1">#REF!</definedName>
    <definedName name="bplh27" hidden="1">#REF!</definedName>
    <definedName name="CCY">'[5]Set-up'!$B$6</definedName>
    <definedName name="COVER1" hidden="1">{#N/A,#N/A,FALSE,"Ejector 1";#N/A,#N/A,FALSE,"Ejector 2"}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#REF!</definedName>
    <definedName name="HTML_CodePage" hidden="1">1252</definedName>
    <definedName name="HTML_Control" hidden="1">{"'Scheda bianca'!$A$1:$L$42"}</definedName>
    <definedName name="HTML_Description" hidden="1">""</definedName>
    <definedName name="HTML_Email" hidden="1">""</definedName>
    <definedName name="HTML_Header" hidden="1">"Scheda MBO"</definedName>
    <definedName name="HTML_LastUpdate" hidden="1">"30/08/00"</definedName>
    <definedName name="HTML_LineAfter" hidden="1">FALSE</definedName>
    <definedName name="HTML_LineBefore" hidden="1">FALSE</definedName>
    <definedName name="HTML_Name" hidden="1">"Enel"</definedName>
    <definedName name="HTML_OBDlg2" hidden="1">TRUE</definedName>
    <definedName name="HTML_OBDlg4" hidden="1">TRUE</definedName>
    <definedName name="HTML_OS" hidden="1">0</definedName>
    <definedName name="HTML_PathFile" hidden="1">"d:\Documenti"</definedName>
    <definedName name="HTML_Title" hidden="1">"Schede mbo 2000 A"</definedName>
    <definedName name="i57.">[6]InternationalEUR!$I$101,[6]InternationalEUR!$I$112</definedName>
    <definedName name="IL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" hidden="1">{"Area1",#N/A,TRUE,"Obiettivo";"Area2",#N/A,TRUE,"Dati per Direzione"}</definedName>
    <definedName name="Month1">'[5]Set-up'!$B$36</definedName>
    <definedName name="Month2">'[5]Set-up'!$C$36</definedName>
    <definedName name="Month3">'[5]Set-up'!$D$36</definedName>
    <definedName name="Month4">'[5]Set-up'!$E$36</definedName>
    <definedName name="Month5">'[5]Set-up'!$F$36</definedName>
    <definedName name="Month6">'[5]Set-up'!$G$36</definedName>
    <definedName name="PE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rt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woef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rngDvalBFP">'[5]Set-up'!$D$95:$D$97</definedName>
    <definedName name="rngDvalCurrency">'[5]Set-up'!$B$95:$B$106</definedName>
    <definedName name="rngDvalCY">'[5]Set-up'!$H$95:$H$97</definedName>
    <definedName name="rngDvalDenomination">'[5]Set-up'!$I$95:$I$98</definedName>
    <definedName name="rngDvalMonths">'[5]Set-up'!$C$95:$C$106</definedName>
    <definedName name="rngDvalTimeline">'[5]Set-up'!$G$95:$G$418</definedName>
    <definedName name="rngDvalYTDNotation1">'[5]Set-up'!$E$95:$E$106</definedName>
    <definedName name="rngSelCurrency">'[5]Set-up'!$B$4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4t5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EI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hidden="1">{#N/A,#N/A,FALSE,"Ejector 1";#N/A,#N/A,FALSE,"Ejector 2"}</definedName>
    <definedName name="wrn.Danilo." hidden="1">{#N/A,#N/A,TRUE,"Main Issues";#N/A,#N/A,TRUE,"Income statement ($)"}</definedName>
    <definedName name="wrn.mario" hidden="1">{"Area1",#N/A,TRUE,"Obiettivo";"Area2",#N/A,TRUE,"Dati per Direzione"}</definedName>
    <definedName name="wrn.Mario." hidden="1">{"Area1",#N/A,TRUE,"Obiettivo";"Area2",#N/A,TRUE,"Dati per Direzione"}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y">'[5]Set-up'!$B$6</definedName>
    <definedName name="Year1">'[5]Set-up'!$B$13</definedName>
    <definedName name="Year2">'[5]Set-up'!$C$13</definedName>
    <definedName name="Year3">'[5]Set-up'!$D$13</definedName>
    <definedName name="Year4">'[5]Set-up'!$E$13</definedName>
    <definedName name="Year5">'[5]Set-up'!$F$13</definedName>
    <definedName name="Year6">'[5]Set-up'!$G$13</definedName>
    <definedName name="YTD2">'[5]Set-up'!$C$19</definedName>
    <definedName name="YTD3">'[5]Set-up'!$D$19</definedName>
    <definedName name="ZZZ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3" l="1"/>
  <c r="C22" i="33"/>
  <c r="H24" i="33"/>
  <c r="H22" i="33"/>
  <c r="F22" i="33"/>
  <c r="G22" i="33" s="1"/>
  <c r="E22" i="33"/>
  <c r="C24" i="33"/>
  <c r="C18" i="33"/>
  <c r="H16" i="33"/>
  <c r="H14" i="33"/>
  <c r="E14" i="33"/>
  <c r="F14" i="33" s="1"/>
  <c r="G14" i="33" s="1"/>
  <c r="D14" i="33"/>
  <c r="C14" i="33"/>
  <c r="C16" i="33"/>
  <c r="F15" i="33"/>
  <c r="E15" i="33"/>
  <c r="D15" i="33"/>
  <c r="D23" i="33" s="1"/>
  <c r="E23" i="33"/>
  <c r="C23" i="33"/>
  <c r="C15" i="33"/>
  <c r="H27" i="32"/>
  <c r="I27" i="32" s="1"/>
  <c r="L27" i="32"/>
  <c r="L29" i="32"/>
  <c r="H29" i="32" s="1"/>
  <c r="I29" i="32" s="1"/>
  <c r="J29" i="32" s="1"/>
  <c r="K29" i="32" s="1"/>
  <c r="H31" i="32"/>
  <c r="I31" i="32" s="1"/>
  <c r="J31" i="32" s="1"/>
  <c r="K31" i="32" s="1"/>
  <c r="L31" i="32"/>
  <c r="E24" i="33" l="1"/>
  <c r="D24" i="33"/>
  <c r="F23" i="33"/>
  <c r="F24" i="33" s="1"/>
  <c r="G15" i="33"/>
  <c r="D16" i="33"/>
  <c r="J27" i="32"/>
  <c r="K27" i="32" s="1"/>
  <c r="F16" i="33" l="1"/>
  <c r="E16" i="33"/>
  <c r="G23" i="33"/>
  <c r="G24" i="33" s="1"/>
  <c r="C26" i="33" s="1"/>
  <c r="G16" i="33"/>
  <c r="C13" i="35"/>
  <c r="C12" i="35"/>
  <c r="C8" i="35"/>
  <c r="C7" i="35"/>
  <c r="C22" i="31"/>
  <c r="C21" i="31"/>
  <c r="C19" i="31"/>
  <c r="C18" i="31"/>
  <c r="C16" i="31"/>
  <c r="C14" i="31"/>
  <c r="C29" i="36"/>
  <c r="C28" i="36"/>
  <c r="N26" i="36"/>
  <c r="H17" i="36"/>
  <c r="F17" i="36"/>
  <c r="E17" i="36"/>
  <c r="D17" i="36"/>
  <c r="N8" i="36"/>
  <c r="M8" i="36"/>
  <c r="L8" i="36"/>
  <c r="K8" i="36"/>
  <c r="J8" i="36"/>
  <c r="I8" i="36"/>
  <c r="H8" i="36"/>
  <c r="G8" i="36"/>
  <c r="F8" i="36"/>
  <c r="E8" i="36"/>
  <c r="D8" i="36"/>
  <c r="M4" i="36" l="1"/>
  <c r="C27" i="35"/>
  <c r="C47" i="34"/>
  <c r="C45" i="34"/>
  <c r="C43" i="34"/>
  <c r="C36" i="34"/>
  <c r="C34" i="34"/>
  <c r="C32" i="34"/>
  <c r="C31" i="34"/>
  <c r="C30" i="34"/>
  <c r="G24" i="34"/>
  <c r="E24" i="34"/>
  <c r="D24" i="34"/>
  <c r="C24" i="34"/>
  <c r="G23" i="34"/>
  <c r="F23" i="34"/>
  <c r="E23" i="34"/>
  <c r="D23" i="34"/>
  <c r="C23" i="34"/>
  <c r="C31" i="36" l="1"/>
  <c r="C30" i="36"/>
  <c r="F26" i="36"/>
  <c r="E26" i="36"/>
  <c r="D26" i="36"/>
  <c r="E25" i="36"/>
  <c r="D25" i="36"/>
  <c r="D24" i="36"/>
  <c r="E24" i="36" s="1"/>
  <c r="F24" i="36" s="1"/>
  <c r="G24" i="36" s="1"/>
  <c r="H24" i="36" s="1"/>
  <c r="I24" i="36" s="1"/>
  <c r="J24" i="36" s="1"/>
  <c r="K24" i="36" s="1"/>
  <c r="L24" i="36" s="1"/>
  <c r="D15" i="36"/>
  <c r="D16" i="36"/>
  <c r="F25" i="36"/>
  <c r="G25" i="36" s="1"/>
  <c r="H25" i="36" s="1"/>
  <c r="I25" i="36" s="1"/>
  <c r="J25" i="36" s="1"/>
  <c r="K25" i="36" s="1"/>
  <c r="L25" i="36" s="1"/>
  <c r="M25" i="36" s="1"/>
  <c r="D23" i="36"/>
  <c r="D22" i="36"/>
  <c r="E22" i="36" s="1"/>
  <c r="F22" i="36" s="1"/>
  <c r="G22" i="36" s="1"/>
  <c r="H22" i="36" s="1"/>
  <c r="I22" i="36" s="1"/>
  <c r="J22" i="36" s="1"/>
  <c r="K22" i="36" s="1"/>
  <c r="L22" i="36" s="1"/>
  <c r="M22" i="36" s="1"/>
  <c r="E15" i="36"/>
  <c r="F15" i="36" s="1"/>
  <c r="G15" i="36" s="1"/>
  <c r="H15" i="36" s="1"/>
  <c r="I15" i="36" s="1"/>
  <c r="J15" i="36" s="1"/>
  <c r="K15" i="36" s="1"/>
  <c r="L15" i="36" s="1"/>
  <c r="D14" i="36"/>
  <c r="D13" i="36"/>
  <c r="E13" i="36" s="1"/>
  <c r="F13" i="36" s="1"/>
  <c r="G13" i="36" s="1"/>
  <c r="H13" i="36" s="1"/>
  <c r="I13" i="36" s="1"/>
  <c r="J13" i="36" s="1"/>
  <c r="K13" i="36" s="1"/>
  <c r="L13" i="36" s="1"/>
  <c r="M13" i="36" s="1"/>
  <c r="E7" i="36"/>
  <c r="F7" i="36" s="1"/>
  <c r="G7" i="36" s="1"/>
  <c r="H7" i="36" s="1"/>
  <c r="I7" i="36" s="1"/>
  <c r="J7" i="36" s="1"/>
  <c r="K7" i="36" s="1"/>
  <c r="M7" i="36" s="1"/>
  <c r="D5" i="36"/>
  <c r="E5" i="36" s="1"/>
  <c r="D4" i="36"/>
  <c r="E4" i="36" s="1"/>
  <c r="F4" i="36" s="1"/>
  <c r="G4" i="36" s="1"/>
  <c r="H4" i="36" s="1"/>
  <c r="I4" i="36" s="1"/>
  <c r="J4" i="36" s="1"/>
  <c r="K4" i="36" s="1"/>
  <c r="H25" i="34"/>
  <c r="H24" i="34"/>
  <c r="H23" i="34"/>
  <c r="C13" i="34"/>
  <c r="C11" i="34"/>
  <c r="D11" i="34"/>
  <c r="D12" i="34"/>
  <c r="D19" i="34"/>
  <c r="C19" i="34"/>
  <c r="M26" i="32"/>
  <c r="C19" i="32"/>
  <c r="C21" i="32" s="1"/>
  <c r="C23" i="32" s="1"/>
  <c r="C20" i="32"/>
  <c r="B13" i="35"/>
  <c r="E16" i="36" l="1"/>
  <c r="F16" i="36" s="1"/>
  <c r="G16" i="36" s="1"/>
  <c r="H16" i="36" s="1"/>
  <c r="I16" i="36" s="1"/>
  <c r="J16" i="36" s="1"/>
  <c r="K16" i="36" s="1"/>
  <c r="L16" i="36" s="1"/>
  <c r="M16" i="36" s="1"/>
  <c r="E23" i="36"/>
  <c r="L4" i="36"/>
  <c r="L7" i="36"/>
  <c r="M15" i="36"/>
  <c r="M24" i="36"/>
  <c r="E14" i="36"/>
  <c r="F5" i="36"/>
  <c r="B14" i="35"/>
  <c r="C14" i="35" s="1"/>
  <c r="C31" i="32"/>
  <c r="H32" i="32" l="1"/>
  <c r="F23" i="36"/>
  <c r="G23" i="36" s="1"/>
  <c r="G5" i="36"/>
  <c r="F14" i="36"/>
  <c r="G14" i="36" s="1"/>
  <c r="H5" i="36"/>
  <c r="B15" i="35"/>
  <c r="C15" i="35" s="1"/>
  <c r="C16" i="32"/>
  <c r="C15" i="32"/>
  <c r="G26" i="36" l="1"/>
  <c r="H23" i="36"/>
  <c r="G17" i="36"/>
  <c r="H14" i="36"/>
  <c r="I5" i="36"/>
  <c r="C17" i="32"/>
  <c r="B16" i="35"/>
  <c r="C16" i="35" s="1"/>
  <c r="C23" i="31"/>
  <c r="C40" i="34"/>
  <c r="D22" i="34"/>
  <c r="E22" i="34" s="1"/>
  <c r="F22" i="34" s="1"/>
  <c r="G22" i="34" s="1"/>
  <c r="B2" i="34"/>
  <c r="D21" i="33"/>
  <c r="E21" i="33" s="1"/>
  <c r="F21" i="33" s="1"/>
  <c r="G21" i="33" s="1"/>
  <c r="C28" i="32" l="1"/>
  <c r="J5" i="36"/>
  <c r="H26" i="36"/>
  <c r="I23" i="36"/>
  <c r="J23" i="36" s="1"/>
  <c r="K23" i="36" s="1"/>
  <c r="L23" i="36" s="1"/>
  <c r="I14" i="36"/>
  <c r="B17" i="35"/>
  <c r="C17" i="35" s="1"/>
  <c r="D25" i="34"/>
  <c r="C25" i="34"/>
  <c r="K5" i="36" l="1"/>
  <c r="L5" i="36" s="1"/>
  <c r="M23" i="36"/>
  <c r="M26" i="36" s="1"/>
  <c r="L26" i="36"/>
  <c r="I26" i="36"/>
  <c r="I17" i="36"/>
  <c r="J14" i="36"/>
  <c r="K14" i="36" s="1"/>
  <c r="L14" i="36" s="1"/>
  <c r="B18" i="35"/>
  <c r="C18" i="35" s="1"/>
  <c r="E25" i="34"/>
  <c r="M14" i="36" l="1"/>
  <c r="M17" i="36" s="1"/>
  <c r="L17" i="36"/>
  <c r="M5" i="36"/>
  <c r="J26" i="36"/>
  <c r="J17" i="36"/>
  <c r="B19" i="35"/>
  <c r="C19" i="35" s="1"/>
  <c r="F24" i="34"/>
  <c r="F25" i="34" s="1"/>
  <c r="N5" i="36" l="1"/>
  <c r="C10" i="36"/>
  <c r="K26" i="36"/>
  <c r="K17" i="36"/>
  <c r="B20" i="35"/>
  <c r="C20" i="35" s="1"/>
  <c r="C19" i="36" l="1"/>
  <c r="N23" i="36"/>
  <c r="N14" i="36"/>
  <c r="N17" i="36" s="1"/>
  <c r="G25" i="34"/>
  <c r="B21" i="35"/>
  <c r="C21" i="35" s="1"/>
  <c r="C27" i="34" l="1"/>
  <c r="B22" i="35"/>
  <c r="C22" i="35" s="1"/>
  <c r="B23" i="35" l="1"/>
  <c r="C23" i="35" s="1"/>
  <c r="D13" i="33"/>
  <c r="E13" i="33" s="1"/>
  <c r="B2" i="33"/>
  <c r="B24" i="35" l="1"/>
  <c r="C24" i="35" s="1"/>
  <c r="F13" i="33"/>
  <c r="B25" i="35" l="1"/>
  <c r="C25" i="35" s="1"/>
  <c r="G13" i="33"/>
  <c r="G29" i="32"/>
  <c r="F29" i="32"/>
  <c r="E29" i="32"/>
  <c r="D29" i="32"/>
  <c r="C29" i="32"/>
  <c r="C30" i="32" s="1"/>
  <c r="C33" i="32" s="1"/>
  <c r="C32" i="32"/>
  <c r="D26" i="32"/>
  <c r="E26" i="32" s="1"/>
  <c r="F26" i="32" s="1"/>
  <c r="G26" i="32" s="1"/>
  <c r="H26" i="32" s="1"/>
  <c r="B2" i="32"/>
  <c r="B26" i="35" l="1"/>
  <c r="C26" i="35" s="1"/>
  <c r="D31" i="32"/>
  <c r="D32" i="32" s="1"/>
  <c r="I26" i="32"/>
  <c r="J26" i="32" s="1"/>
  <c r="K26" i="32" s="1"/>
  <c r="L26" i="32" s="1"/>
  <c r="D28" i="32"/>
  <c r="C27" i="32"/>
  <c r="D27" i="32" s="1"/>
  <c r="E27" i="32" s="1"/>
  <c r="F27" i="32" s="1"/>
  <c r="G27" i="32" s="1"/>
  <c r="B2" i="31"/>
  <c r="E31" i="32" l="1"/>
  <c r="E32" i="32" s="1"/>
  <c r="D30" i="32"/>
  <c r="D33" i="32" s="1"/>
  <c r="E28" i="32"/>
  <c r="F31" i="32" l="1"/>
  <c r="F32" i="32" s="1"/>
  <c r="F28" i="32"/>
  <c r="E30" i="32"/>
  <c r="E33" i="32" s="1"/>
  <c r="G31" i="32" l="1"/>
  <c r="G28" i="32"/>
  <c r="F30" i="32"/>
  <c r="F33" i="32" s="1"/>
  <c r="I32" i="32" l="1"/>
  <c r="J32" i="32" s="1"/>
  <c r="K32" i="32" s="1"/>
  <c r="L32" i="32" s="1"/>
  <c r="G32" i="32"/>
  <c r="H28" i="32"/>
  <c r="G30" i="32"/>
  <c r="G33" i="32" s="1"/>
  <c r="I28" i="32" l="1"/>
  <c r="H30" i="32"/>
  <c r="H33" i="32" s="1"/>
  <c r="J28" i="32" l="1"/>
  <c r="I30" i="32"/>
  <c r="I33" i="32" s="1"/>
  <c r="K28" i="32" l="1"/>
  <c r="J30" i="32"/>
  <c r="J33" i="32" s="1"/>
  <c r="L28" i="32" l="1"/>
  <c r="M30" i="32" s="1"/>
  <c r="M33" i="32" s="1"/>
  <c r="K30" i="32"/>
  <c r="K33" i="32" s="1"/>
  <c r="L30" i="32" l="1"/>
  <c r="L33" i="32" l="1"/>
  <c r="C35" i="32" s="1"/>
</calcChain>
</file>

<file path=xl/sharedStrings.xml><?xml version="1.0" encoding="utf-8"?>
<sst xmlns="http://schemas.openxmlformats.org/spreadsheetml/2006/main" count="122" uniqueCount="64">
  <si>
    <t>Solution</t>
  </si>
  <si>
    <t>Beta</t>
  </si>
  <si>
    <t>Risk-free</t>
  </si>
  <si>
    <t>ERP</t>
  </si>
  <si>
    <t>Ke =</t>
  </si>
  <si>
    <t>EPS</t>
  </si>
  <si>
    <t>DPS</t>
  </si>
  <si>
    <t>g</t>
  </si>
  <si>
    <t>Value per share =</t>
  </si>
  <si>
    <t>Retention rate =</t>
  </si>
  <si>
    <t>ROE</t>
  </si>
  <si>
    <t>Expected g =</t>
  </si>
  <si>
    <t>---&gt; Very close to the estimated growth rate</t>
  </si>
  <si>
    <t>Reinvestment</t>
  </si>
  <si>
    <t>Payout</t>
  </si>
  <si>
    <t>Ke</t>
  </si>
  <si>
    <t>(1 + Ke) ^ t</t>
  </si>
  <si>
    <t>ROE High-growth</t>
  </si>
  <si>
    <t>ROE Stable-growth</t>
  </si>
  <si>
    <t>Vale per share =</t>
  </si>
  <si>
    <t>S&amp;P Level</t>
  </si>
  <si>
    <t>g Stable-growth</t>
  </si>
  <si>
    <t>DPS + Buyback</t>
  </si>
  <si>
    <t>---&gt; Index overvalued based on dividends alone</t>
  </si>
  <si>
    <t>---&gt; Index fairly priced factoring in buybacks</t>
  </si>
  <si>
    <t>Buybacks</t>
  </si>
  <si>
    <t>High-growth</t>
  </si>
  <si>
    <t>Stable-growth</t>
  </si>
  <si>
    <t>Retention Ratio</t>
  </si>
  <si>
    <t>Payout Ratio</t>
  </si>
  <si>
    <t>Expected Growth</t>
  </si>
  <si>
    <t>---&gt; Stock undervalued</t>
  </si>
  <si>
    <t>DPS (PV) =</t>
  </si>
  <si>
    <t>Reinvestment =</t>
  </si>
  <si>
    <t>ROE High-growth =</t>
  </si>
  <si>
    <t>ROE =</t>
  </si>
  <si>
    <t>Payout ratio =</t>
  </si>
  <si>
    <t>EqV</t>
  </si>
  <si>
    <t>G</t>
  </si>
  <si>
    <t>Gordown Growth Model</t>
  </si>
  <si>
    <t>Growth Phase</t>
  </si>
  <si>
    <t>Transition Phase</t>
  </si>
  <si>
    <t>Steady-State</t>
  </si>
  <si>
    <t xml:space="preserve">g </t>
  </si>
  <si>
    <t>Value per share</t>
  </si>
  <si>
    <t>Value of High-Growth</t>
  </si>
  <si>
    <t xml:space="preserve"> </t>
  </si>
  <si>
    <t>Value of Stable-Growth</t>
  </si>
  <si>
    <t>---&gt; From assets in place</t>
  </si>
  <si>
    <t>Check</t>
  </si>
  <si>
    <t>Ke Stable-growth</t>
  </si>
  <si>
    <t>g  High-growth =</t>
  </si>
  <si>
    <t>Payout Stable-growth =</t>
  </si>
  <si>
    <t>g Stable-growth =</t>
  </si>
  <si>
    <t>ROE Stable-growth =</t>
  </si>
  <si>
    <t>Reinvestment Stable-growth =</t>
  </si>
  <si>
    <t>Two-Stage DDM</t>
  </si>
  <si>
    <t>TV</t>
  </si>
  <si>
    <t>ke</t>
  </si>
  <si>
    <t>PV (DPS)</t>
  </si>
  <si>
    <t>Growing Annuity</t>
  </si>
  <si>
    <r>
      <t>DPS</t>
    </r>
    <r>
      <rPr>
        <vertAlign val="subscript"/>
        <sz val="12"/>
        <rFont val="Arial"/>
        <family val="2"/>
      </rPr>
      <t>(t)</t>
    </r>
  </si>
  <si>
    <r>
      <t>DPS</t>
    </r>
    <r>
      <rPr>
        <vertAlign val="subscript"/>
        <sz val="12"/>
        <rFont val="Arial"/>
        <family val="2"/>
      </rPr>
      <t>(t + 1)</t>
    </r>
  </si>
  <si>
    <t>g High-growth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</si>
</sst>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_);\(#,##0\);&quot;-&quot;_);&quot;Problem &quot;@"/>
    <numFmt numFmtId="165" formatCode="#,##0.0_)_);\(#,##0.0\)_);\-_)_);@_)_)"/>
    <numFmt numFmtId="166" formatCode="#,##0.00_)_);\(#,##0.00\)_);\-_)_);@_)_)"/>
    <numFmt numFmtId="167" formatCode="#,##0_);[Red]\(#,##0\);&quot;-&quot;_);[Blue]&quot;Error-&quot;@"/>
    <numFmt numFmtId="168" formatCode="0.000%"/>
    <numFmt numFmtId="169" formatCode="0.0000%"/>
    <numFmt numFmtId="170" formatCode="0.0%"/>
    <numFmt numFmtId="171" formatCode="0.0"/>
    <numFmt numFmtId="172" formatCode="0.0%_)_);\(0.0%\)_);\-_)_);@_)_)"/>
    <numFmt numFmtId="173" formatCode="_-* #,##0.0\ _€_-;\-* #,##0.0\ _€_-;_-* &quot;-&quot;?\ _€_-;_-@_-"/>
    <numFmt numFmtId="174" formatCode="0.00000%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Palatino Linotype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i/>
      <sz val="12"/>
      <name val="Arial"/>
      <family val="2"/>
    </font>
    <font>
      <sz val="12"/>
      <color rgb="FF0000FF"/>
      <name val="Arial"/>
      <family val="2"/>
    </font>
    <font>
      <sz val="12"/>
      <color theme="1"/>
      <name val="Arial"/>
      <family val="2"/>
    </font>
    <font>
      <i/>
      <sz val="12"/>
      <color rgb="FF00B050"/>
      <name val="Arial"/>
      <family val="2"/>
    </font>
    <font>
      <sz val="12"/>
      <color rgb="FF00B050"/>
      <name val="Arial"/>
      <family val="2"/>
    </font>
    <font>
      <i/>
      <sz val="12"/>
      <color theme="1"/>
      <name val="Arial"/>
      <family val="2"/>
    </font>
    <font>
      <sz val="12"/>
      <color rgb="FFFF0000"/>
      <name val="Arial"/>
      <family val="2"/>
    </font>
    <font>
      <vertAlign val="subscript"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 style="mediumDashed">
        <color auto="1"/>
      </right>
      <top/>
      <bottom style="thin">
        <color indexed="64"/>
      </bottom>
      <diagonal/>
    </border>
    <border>
      <left style="dashed">
        <color rgb="FFFF0000"/>
      </left>
      <right/>
      <top style="dashed">
        <color rgb="FFFF0000"/>
      </top>
      <bottom style="dashed">
        <color rgb="FFFF0000"/>
      </bottom>
      <diagonal/>
    </border>
    <border>
      <left/>
      <right style="dashed">
        <color rgb="FFFF0000"/>
      </right>
      <top style="dashed">
        <color rgb="FFFF0000"/>
      </top>
      <bottom style="dashed">
        <color rgb="FFFF0000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5" fillId="0" borderId="0"/>
    <xf numFmtId="0" fontId="7" fillId="0" borderId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2" fillId="0" borderId="0"/>
    <xf numFmtId="0" fontId="4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9" fillId="0" borderId="0" xfId="5" applyFont="1" applyAlignment="1">
      <alignment horizontal="left" indent="1"/>
    </xf>
    <xf numFmtId="0" fontId="9" fillId="0" borderId="0" xfId="5" applyFont="1"/>
    <xf numFmtId="164" fontId="10" fillId="2" borderId="0" xfId="5" applyNumberFormat="1" applyFont="1" applyFill="1" applyAlignment="1">
      <alignment horizontal="left" vertical="center" indent="1"/>
    </xf>
    <xf numFmtId="0" fontId="11" fillId="2" borderId="0" xfId="5" applyFont="1" applyFill="1" applyAlignment="1">
      <alignment horizontal="left" vertical="center" indent="1"/>
    </xf>
    <xf numFmtId="0" fontId="11" fillId="2" borderId="0" xfId="5" applyFont="1" applyFill="1" applyAlignment="1">
      <alignment horizontal="left" vertical="center" wrapText="1" indent="1"/>
    </xf>
    <xf numFmtId="0" fontId="9" fillId="0" borderId="0" xfId="5" applyFont="1" applyAlignment="1">
      <alignment wrapText="1"/>
    </xf>
    <xf numFmtId="0" fontId="9" fillId="3" borderId="0" xfId="5" applyFont="1" applyFill="1" applyAlignment="1">
      <alignment horizontal="left" indent="1"/>
    </xf>
    <xf numFmtId="0" fontId="9" fillId="3" borderId="1" xfId="5" applyFont="1" applyFill="1" applyBorder="1" applyAlignment="1">
      <alignment horizontal="left" indent="1"/>
    </xf>
    <xf numFmtId="0" fontId="9" fillId="0" borderId="0" xfId="5" applyFont="1" applyAlignment="1">
      <alignment horizontal="left" wrapText="1" indent="1"/>
    </xf>
    <xf numFmtId="165" fontId="6" fillId="4" borderId="0" xfId="0" applyNumberFormat="1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 indent="1"/>
    </xf>
    <xf numFmtId="0" fontId="14" fillId="0" borderId="0" xfId="0" applyFont="1"/>
    <xf numFmtId="0" fontId="9" fillId="0" borderId="0" xfId="3" applyFont="1" applyAlignment="1">
      <alignment horizontal="left" indent="1"/>
    </xf>
    <xf numFmtId="0" fontId="9" fillId="0" borderId="0" xfId="3" applyFont="1" applyAlignment="1">
      <alignment horizontal="left" wrapText="1" indent="1"/>
    </xf>
    <xf numFmtId="0" fontId="9" fillId="0" borderId="0" xfId="3" applyFont="1"/>
    <xf numFmtId="0" fontId="12" fillId="0" borderId="0" xfId="5" quotePrefix="1" applyFont="1"/>
    <xf numFmtId="10" fontId="13" fillId="3" borderId="0" xfId="1" applyNumberFormat="1" applyFont="1" applyFill="1" applyBorder="1"/>
    <xf numFmtId="166" fontId="13" fillId="0" borderId="0" xfId="5" applyNumberFormat="1" applyFont="1"/>
    <xf numFmtId="2" fontId="9" fillId="0" borderId="0" xfId="5" applyNumberFormat="1" applyFont="1"/>
    <xf numFmtId="0" fontId="9" fillId="0" borderId="0" xfId="5" applyFont="1" applyAlignment="1">
      <alignment horizontal="left"/>
    </xf>
    <xf numFmtId="0" fontId="9" fillId="0" borderId="1" xfId="5" applyFont="1" applyBorder="1" applyAlignment="1">
      <alignment horizontal="left" indent="2"/>
    </xf>
    <xf numFmtId="0" fontId="9" fillId="0" borderId="1" xfId="5" applyFont="1" applyBorder="1"/>
    <xf numFmtId="169" fontId="9" fillId="0" borderId="0" xfId="5" applyNumberFormat="1" applyFont="1"/>
    <xf numFmtId="168" fontId="9" fillId="0" borderId="0" xfId="1" applyNumberFormat="1" applyFont="1" applyFill="1"/>
    <xf numFmtId="170" fontId="9" fillId="3" borderId="0" xfId="1" applyNumberFormat="1" applyFont="1" applyFill="1" applyBorder="1"/>
    <xf numFmtId="0" fontId="9" fillId="0" borderId="0" xfId="5" applyFont="1" applyAlignment="1">
      <alignment horizontal="center"/>
    </xf>
    <xf numFmtId="166" fontId="13" fillId="0" borderId="1" xfId="5" applyNumberFormat="1" applyFont="1" applyBorder="1"/>
    <xf numFmtId="0" fontId="9" fillId="0" borderId="1" xfId="5" applyFont="1" applyBorder="1" applyAlignment="1">
      <alignment horizontal="left"/>
    </xf>
    <xf numFmtId="0" fontId="6" fillId="0" borderId="0" xfId="5" applyFont="1" applyAlignment="1">
      <alignment horizontal="left"/>
    </xf>
    <xf numFmtId="0" fontId="9" fillId="0" borderId="1" xfId="5" quotePrefix="1" applyFont="1" applyBorder="1" applyAlignment="1">
      <alignment horizontal="left"/>
    </xf>
    <xf numFmtId="0" fontId="13" fillId="0" borderId="0" xfId="5" applyFont="1"/>
    <xf numFmtId="0" fontId="6" fillId="3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6" fillId="0" borderId="0" xfId="5" applyFont="1"/>
    <xf numFmtId="0" fontId="6" fillId="0" borderId="0" xfId="5" applyFont="1" applyAlignment="1">
      <alignment horizontal="left" indent="2"/>
    </xf>
    <xf numFmtId="0" fontId="9" fillId="3" borderId="0" xfId="5" applyFont="1" applyFill="1"/>
    <xf numFmtId="0" fontId="9" fillId="3" borderId="1" xfId="5" applyFont="1" applyFill="1" applyBorder="1"/>
    <xf numFmtId="0" fontId="6" fillId="0" borderId="0" xfId="5" applyFont="1" applyAlignment="1">
      <alignment horizontal="center"/>
    </xf>
    <xf numFmtId="10" fontId="6" fillId="0" borderId="0" xfId="1" applyNumberFormat="1" applyFont="1" applyFill="1" applyBorder="1" applyAlignment="1">
      <alignment horizontal="center"/>
    </xf>
    <xf numFmtId="0" fontId="10" fillId="2" borderId="0" xfId="5" applyFont="1" applyFill="1" applyAlignment="1">
      <alignment horizontal="left" vertical="center" indent="1"/>
    </xf>
    <xf numFmtId="0" fontId="9" fillId="0" borderId="2" xfId="5" applyFont="1" applyBorder="1"/>
    <xf numFmtId="170" fontId="9" fillId="3" borderId="2" xfId="1" applyNumberFormat="1" applyFont="1" applyFill="1" applyBorder="1"/>
    <xf numFmtId="0" fontId="12" fillId="0" borderId="0" xfId="5" applyFont="1" applyAlignment="1">
      <alignment horizontal="left" indent="1"/>
    </xf>
    <xf numFmtId="0" fontId="16" fillId="0" borderId="0" xfId="5" applyFont="1" applyAlignment="1">
      <alignment horizontal="left" indent="1"/>
    </xf>
    <xf numFmtId="0" fontId="15" fillId="0" borderId="0" xfId="5" quotePrefix="1" applyFont="1"/>
    <xf numFmtId="0" fontId="17" fillId="0" borderId="0" xfId="5" applyFont="1" applyAlignment="1">
      <alignment horizontal="left" indent="1"/>
    </xf>
    <xf numFmtId="0" fontId="14" fillId="0" borderId="0" xfId="5" applyFont="1"/>
    <xf numFmtId="0" fontId="14" fillId="0" borderId="0" xfId="5" applyFont="1" applyAlignment="1">
      <alignment horizontal="left" indent="1"/>
    </xf>
    <xf numFmtId="0" fontId="18" fillId="0" borderId="0" xfId="5" applyFont="1" applyAlignment="1">
      <alignment horizontal="left" indent="1"/>
    </xf>
    <xf numFmtId="165" fontId="13" fillId="0" borderId="0" xfId="5" applyNumberFormat="1" applyFont="1"/>
    <xf numFmtId="170" fontId="13" fillId="3" borderId="0" xfId="1" applyNumberFormat="1" applyFont="1" applyFill="1" applyBorder="1"/>
    <xf numFmtId="170" fontId="13" fillId="3" borderId="1" xfId="1" applyNumberFormat="1" applyFont="1" applyFill="1" applyBorder="1"/>
    <xf numFmtId="171" fontId="9" fillId="0" borderId="0" xfId="5" applyNumberFormat="1" applyFont="1"/>
    <xf numFmtId="170" fontId="9" fillId="0" borderId="0" xfId="5" applyNumberFormat="1" applyFont="1"/>
    <xf numFmtId="171" fontId="6" fillId="0" borderId="0" xfId="5" applyNumberFormat="1" applyFont="1"/>
    <xf numFmtId="170" fontId="13" fillId="0" borderId="0" xfId="1" applyNumberFormat="1" applyFont="1" applyFill="1" applyBorder="1"/>
    <xf numFmtId="170" fontId="9" fillId="0" borderId="0" xfId="1" applyNumberFormat="1" applyFont="1" applyFill="1" applyBorder="1"/>
    <xf numFmtId="170" fontId="6" fillId="0" borderId="0" xfId="1" applyNumberFormat="1" applyFont="1" applyFill="1" applyBorder="1"/>
    <xf numFmtId="170" fontId="14" fillId="0" borderId="0" xfId="5" applyNumberFormat="1" applyFont="1"/>
    <xf numFmtId="171" fontId="14" fillId="0" borderId="0" xfId="5" applyNumberFormat="1" applyFont="1"/>
    <xf numFmtId="170" fontId="13" fillId="0" borderId="0" xfId="5" applyNumberFormat="1" applyFont="1"/>
    <xf numFmtId="170" fontId="9" fillId="0" borderId="0" xfId="3" applyNumberFormat="1" applyFont="1" applyAlignment="1">
      <alignment horizontal="right" wrapText="1" indent="1"/>
    </xf>
    <xf numFmtId="170" fontId="9" fillId="0" borderId="1" xfId="3" applyNumberFormat="1" applyFont="1" applyBorder="1" applyAlignment="1">
      <alignment horizontal="right" wrapText="1" indent="1"/>
    </xf>
    <xf numFmtId="170" fontId="6" fillId="0" borderId="0" xfId="1" applyNumberFormat="1" applyFont="1" applyFill="1" applyBorder="1" applyAlignment="1"/>
    <xf numFmtId="170" fontId="9" fillId="0" borderId="0" xfId="1" applyNumberFormat="1" applyFont="1" applyFill="1" applyBorder="1" applyAlignment="1"/>
    <xf numFmtId="170" fontId="9" fillId="0" borderId="2" xfId="5" applyNumberFormat="1" applyFont="1" applyBorder="1"/>
    <xf numFmtId="170" fontId="9" fillId="0" borderId="0" xfId="1" applyNumberFormat="1" applyFont="1" applyFill="1"/>
    <xf numFmtId="172" fontId="13" fillId="3" borderId="0" xfId="5" applyNumberFormat="1" applyFont="1" applyFill="1"/>
    <xf numFmtId="170" fontId="9" fillId="0" borderId="1" xfId="1" applyNumberFormat="1" applyFont="1" applyFill="1" applyBorder="1" applyAlignment="1"/>
    <xf numFmtId="170" fontId="6" fillId="0" borderId="0" xfId="1" applyNumberFormat="1" applyFont="1" applyFill="1" applyAlignment="1"/>
    <xf numFmtId="170" fontId="9" fillId="0" borderId="1" xfId="5" applyNumberFormat="1" applyFont="1" applyBorder="1"/>
    <xf numFmtId="170" fontId="13" fillId="0" borderId="0" xfId="1" applyNumberFormat="1" applyFont="1" applyAlignment="1">
      <alignment horizontal="center"/>
    </xf>
    <xf numFmtId="165" fontId="9" fillId="0" borderId="1" xfId="5" applyNumberFormat="1" applyFont="1" applyBorder="1"/>
    <xf numFmtId="0" fontId="13" fillId="0" borderId="0" xfId="5" applyFont="1" applyAlignment="1">
      <alignment wrapText="1"/>
    </xf>
    <xf numFmtId="0" fontId="9" fillId="0" borderId="0" xfId="5" applyFont="1" applyAlignment="1">
      <alignment horizontal="right" wrapText="1"/>
    </xf>
    <xf numFmtId="170" fontId="9" fillId="0" borderId="0" xfId="1" applyNumberFormat="1" applyFont="1" applyAlignment="1">
      <alignment horizontal="center"/>
    </xf>
    <xf numFmtId="171" fontId="9" fillId="0" borderId="0" xfId="5" applyNumberFormat="1" applyFont="1" applyAlignment="1">
      <alignment wrapText="1"/>
    </xf>
    <xf numFmtId="171" fontId="6" fillId="0" borderId="0" xfId="5" applyNumberFormat="1" applyFont="1" applyAlignment="1">
      <alignment wrapText="1"/>
    </xf>
    <xf numFmtId="0" fontId="9" fillId="0" borderId="1" xfId="5" applyFont="1" applyBorder="1" applyAlignment="1">
      <alignment horizontal="left" indent="1"/>
    </xf>
    <xf numFmtId="171" fontId="9" fillId="0" borderId="1" xfId="5" applyNumberFormat="1" applyFont="1" applyBorder="1" applyAlignment="1">
      <alignment wrapText="1"/>
    </xf>
    <xf numFmtId="170" fontId="13" fillId="0" borderId="4" xfId="1" applyNumberFormat="1" applyFont="1" applyBorder="1" applyAlignment="1">
      <alignment horizontal="center"/>
    </xf>
    <xf numFmtId="171" fontId="12" fillId="0" borderId="0" xfId="5" applyNumberFormat="1" applyFont="1" applyAlignment="1">
      <alignment horizontal="right" wrapText="1"/>
    </xf>
    <xf numFmtId="173" fontId="9" fillId="0" borderId="0" xfId="5" applyNumberFormat="1" applyFont="1"/>
    <xf numFmtId="173" fontId="9" fillId="0" borderId="0" xfId="5" applyNumberFormat="1" applyFont="1" applyAlignment="1">
      <alignment horizontal="right"/>
    </xf>
    <xf numFmtId="173" fontId="9" fillId="0" borderId="5" xfId="5" applyNumberFormat="1" applyFont="1" applyBorder="1" applyAlignment="1">
      <alignment horizontal="right"/>
    </xf>
    <xf numFmtId="168" fontId="9" fillId="0" borderId="1" xfId="1" applyNumberFormat="1" applyFont="1" applyFill="1" applyBorder="1"/>
    <xf numFmtId="173" fontId="6" fillId="0" borderId="0" xfId="5" applyNumberFormat="1" applyFont="1" applyAlignment="1">
      <alignment horizontal="right"/>
    </xf>
    <xf numFmtId="173" fontId="6" fillId="0" borderId="6" xfId="5" applyNumberFormat="1" applyFont="1" applyBorder="1" applyAlignment="1">
      <alignment horizontal="right"/>
    </xf>
    <xf numFmtId="173" fontId="9" fillId="0" borderId="1" xfId="5" applyNumberFormat="1" applyFont="1" applyBorder="1"/>
    <xf numFmtId="173" fontId="6" fillId="0" borderId="0" xfId="5" applyNumberFormat="1" applyFont="1"/>
    <xf numFmtId="173" fontId="18" fillId="0" borderId="0" xfId="5" applyNumberFormat="1" applyFont="1"/>
    <xf numFmtId="173" fontId="17" fillId="0" borderId="0" xfId="5" applyNumberFormat="1" applyFont="1"/>
    <xf numFmtId="173" fontId="16" fillId="0" borderId="0" xfId="5" applyNumberFormat="1" applyFont="1"/>
    <xf numFmtId="173" fontId="12" fillId="0" borderId="0" xfId="5" applyNumberFormat="1" applyFont="1"/>
    <xf numFmtId="173" fontId="9" fillId="0" borderId="2" xfId="5" applyNumberFormat="1" applyFont="1" applyBorder="1"/>
    <xf numFmtId="173" fontId="9" fillId="0" borderId="3" xfId="5" applyNumberFormat="1" applyFont="1" applyBorder="1"/>
    <xf numFmtId="173" fontId="6" fillId="0" borderId="2" xfId="5" applyNumberFormat="1" applyFont="1" applyBorder="1"/>
    <xf numFmtId="174" fontId="9" fillId="0" borderId="0" xfId="5" applyNumberFormat="1" applyFont="1"/>
    <xf numFmtId="0" fontId="9" fillId="0" borderId="0" xfId="5" applyFont="1" applyAlignment="1">
      <alignment horizontal="center"/>
    </xf>
  </cellXfs>
  <cellStyles count="17">
    <cellStyle name="CALC Amount" xfId="9" xr:uid="{00000000-0005-0000-0000-000000000000}"/>
    <cellStyle name="Comma 2" xfId="7" xr:uid="{00000000-0005-0000-0000-000001000000}"/>
    <cellStyle name="Comma 2 2" xfId="11" xr:uid="{00000000-0005-0000-0000-000002000000}"/>
    <cellStyle name="Migliaia 2" xfId="12" xr:uid="{00000000-0005-0000-0000-000003000000}"/>
    <cellStyle name="Normal 10" xfId="13" xr:uid="{00000000-0005-0000-0000-000004000000}"/>
    <cellStyle name="Normal 2" xfId="2" xr:uid="{00000000-0005-0000-0000-000005000000}"/>
    <cellStyle name="Normal 2 2" xfId="4" xr:uid="{00000000-0005-0000-0000-000006000000}"/>
    <cellStyle name="Normal 2 2 2" xfId="6" xr:uid="{00000000-0005-0000-0000-000007000000}"/>
    <cellStyle name="Normal 23" xfId="14" xr:uid="{00000000-0005-0000-0000-000008000000}"/>
    <cellStyle name="Normal 3 2" xfId="5" xr:uid="{00000000-0005-0000-0000-000009000000}"/>
    <cellStyle name="Normale" xfId="0" builtinId="0"/>
    <cellStyle name="Normale 2" xfId="10" xr:uid="{00000000-0005-0000-0000-00000B000000}"/>
    <cellStyle name="Normale 2 2" xfId="3" xr:uid="{00000000-0005-0000-0000-00000C000000}"/>
    <cellStyle name="Normale 2 2 2" xfId="15" xr:uid="{00000000-0005-0000-0000-00000D000000}"/>
    <cellStyle name="Percent 2" xfId="8" xr:uid="{00000000-0005-0000-0000-00000E000000}"/>
    <cellStyle name="Percentuale" xfId="1" builtinId="5"/>
    <cellStyle name="Percentuale 2" xfId="16" xr:uid="{00000000-0005-0000-0000-000010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Equity</a:t>
            </a:r>
            <a:r>
              <a:rPr lang="it-IT" b="1" baseline="0"/>
              <a:t> Value (per share)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Ex_1!$B$12:$B$26</c:f>
              <c:numCache>
                <c:formatCode>0.0%</c:formatCode>
                <c:ptCount val="1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</c:numCache>
            </c:numRef>
          </c:cat>
          <c:val>
            <c:numRef>
              <c:f>Ex_1!$C$12:$C$26</c:f>
              <c:numCache>
                <c:formatCode>_-* #,##0.0\ _€_-;\-* #,##0.0\ _€_-;_-* "-"?\ _€_-;_-@_-</c:formatCode>
                <c:ptCount val="15"/>
                <c:pt idx="0">
                  <c:v>13.333333333333334</c:v>
                </c:pt>
                <c:pt idx="1">
                  <c:v>14.428571428571431</c:v>
                </c:pt>
                <c:pt idx="2">
                  <c:v>15.692307692307692</c:v>
                </c:pt>
                <c:pt idx="3">
                  <c:v>17.166666666666668</c:v>
                </c:pt>
                <c:pt idx="4">
                  <c:v>18.909090909090914</c:v>
                </c:pt>
                <c:pt idx="5">
                  <c:v>21.000000000000004</c:v>
                </c:pt>
                <c:pt idx="6">
                  <c:v>23.555555555555557</c:v>
                </c:pt>
                <c:pt idx="7">
                  <c:v>26.750000000000007</c:v>
                </c:pt>
                <c:pt idx="8">
                  <c:v>30.857142857142861</c:v>
                </c:pt>
                <c:pt idx="9">
                  <c:v>36.333333333333336</c:v>
                </c:pt>
                <c:pt idx="10">
                  <c:v>44</c:v>
                </c:pt>
                <c:pt idx="11">
                  <c:v>55.499999999999986</c:v>
                </c:pt>
                <c:pt idx="12">
                  <c:v>74.666666666666629</c:v>
                </c:pt>
                <c:pt idx="13">
                  <c:v>112.99999999999989</c:v>
                </c:pt>
                <c:pt idx="14">
                  <c:v>227.99999999999977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C-4902-BAF4-31148A477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1827983"/>
        <c:axId val="2108732783"/>
      </c:lineChart>
      <c:catAx>
        <c:axId val="1661827983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8732783"/>
        <c:crosses val="autoZero"/>
        <c:auto val="1"/>
        <c:lblAlgn val="ctr"/>
        <c:lblOffset val="100"/>
        <c:noMultiLvlLbl val="0"/>
      </c:catAx>
      <c:valAx>
        <c:axId val="2108732783"/>
        <c:scaling>
          <c:orientation val="minMax"/>
        </c:scaling>
        <c:delete val="0"/>
        <c:axPos val="l"/>
        <c:numFmt formatCode="_-* #,##0.0\ _€_-;\-* #,##0.0\ _€_-;_-* &quot;-&quot;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182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4</xdr:row>
      <xdr:rowOff>0</xdr:rowOff>
    </xdr:from>
    <xdr:to>
      <xdr:col>9</xdr:col>
      <xdr:colOff>312420</xdr:colOff>
      <xdr:row>26</xdr:row>
      <xdr:rowOff>53340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EE24E49-076B-D2C4-97C3-0DE23DFCA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F\EDISON\Budget%201998%20-%201999\Mensilizzazioni%201999\Budget%20mensilizzato19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_Repo\Flash_2001\03_MARZO\PRODF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o\capichera\Lavori\Cristian\Insurance\TASSI%20E%20BETA\Beta%20storici%20insurance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berto\Desktop\Documenti\0.%20Da%20fare\Brosse%20Libr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\1-Phase%20Budgetaire\2-Actu%201\6-Doc%20Finaux\4-Plan%20d'affaire%20Groupe\BusinessPlan%20Groupe%20Actu%201%202004%20doc%20a%20jour%20avec%20le%20d&#233;ta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 ECONOMICO Progressivo"/>
      <sheetName val="CONTO ECONOMICO"/>
      <sheetName val="CONTO ECONOMICO ROSPO Progres."/>
      <sheetName val="CONTO ECONOMICO ROSPO"/>
      <sheetName val="CONTO ECONOMICO SARAGO PROG."/>
      <sheetName val="CONTO ECONOMICO SARAGO"/>
      <sheetName val="CONTO ECONOMICO GAS Prog."/>
      <sheetName val="CONTO ECONOMICO GAS"/>
      <sheetName val="CONTO ECONOMICO SEDE Prog."/>
      <sheetName val="CONTO ECONOMICO SEDE"/>
      <sheetName val="vecve"/>
      <sheetName val="CFIX"/>
      <sheetName val="MTZ"/>
      <sheetName val="INV"/>
      <sheetName val="WBDG"/>
      <sheetName val="PERS_DIST"/>
      <sheetName val="Real Time_Pivot"/>
      <sheetName val="Scenario old"/>
      <sheetName val="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RDE"/>
      <sheetName val="NETTE"/>
      <sheetName val="PCS38100"/>
      <sheetName val="Modulo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Investimento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ta storici VS MIBTEL"/>
      <sheetName val="Beta storici VS mib30"/>
      <sheetName val="RIEPILOGO"/>
      <sheetName val="Index"/>
      <sheetName val="Download"/>
      <sheetName val="Targe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-up"/>
      <sheetName val="KPIs"/>
      <sheetName val="CdR - Sommaire"/>
      <sheetName val="Cdr short"/>
      <sheetName val="CdR Saisonnalité Ventes"/>
      <sheetName val="CdR - Current T"/>
      <sheetName val="BP"/>
      <sheetName val="Mgt Fees"/>
      <sheetName val="CA par région"/>
      <sheetName val="COGS Vent"/>
      <sheetName val="Bilan Synth"/>
      <sheetName val="Prov RF"/>
      <sheetName val="BFR Saisonnalité"/>
      <sheetName val="Hors Bilan"/>
      <sheetName val="Business Plan"/>
      <sheetName val="Equity Value"/>
    </sheetNames>
    <sheetDataSet>
      <sheetData sheetId="0">
        <row r="4">
          <cell r="B4" t="str">
            <v>€</v>
          </cell>
        </row>
        <row r="6">
          <cell r="B6" t="str">
            <v>€m</v>
          </cell>
        </row>
        <row r="13">
          <cell r="B13" t="str">
            <v>FY06</v>
          </cell>
          <cell r="C13" t="str">
            <v>FY07</v>
          </cell>
          <cell r="D13" t="str">
            <v>FY08</v>
          </cell>
          <cell r="E13" t="str">
            <v>FY09B</v>
          </cell>
          <cell r="F13" t="str">
            <v>FY010F</v>
          </cell>
          <cell r="G13" t="str">
            <v>FY011F</v>
          </cell>
        </row>
        <row r="19">
          <cell r="C19" t="str">
            <v>H1-08</v>
          </cell>
          <cell r="D19" t="str">
            <v>H1-09</v>
          </cell>
        </row>
        <row r="36">
          <cell r="B36" t="str">
            <v>Jul 08</v>
          </cell>
          <cell r="C36" t="str">
            <v>Aug 08</v>
          </cell>
          <cell r="D36" t="str">
            <v>Sep 08</v>
          </cell>
          <cell r="E36" t="str">
            <v>Oct 08</v>
          </cell>
          <cell r="F36" t="str">
            <v>Nov 08</v>
          </cell>
          <cell r="G36" t="str">
            <v>Dec 08</v>
          </cell>
        </row>
        <row r="95">
          <cell r="B95" t="str">
            <v>£</v>
          </cell>
          <cell r="C95" t="str">
            <v>Jan</v>
          </cell>
          <cell r="D95" t="str">
            <v>B</v>
          </cell>
          <cell r="E95" t="str">
            <v>YTD</v>
          </cell>
          <cell r="G95" t="str">
            <v>Jan 04</v>
          </cell>
          <cell r="H95">
            <v>2007</v>
          </cell>
          <cell r="I95" t="str">
            <v>m</v>
          </cell>
        </row>
        <row r="96">
          <cell r="B96" t="str">
            <v>€</v>
          </cell>
          <cell r="C96" t="str">
            <v>Feb</v>
          </cell>
          <cell r="D96" t="str">
            <v>F</v>
          </cell>
          <cell r="E96" t="str">
            <v>1m</v>
          </cell>
          <cell r="G96" t="str">
            <v>Jan 04F</v>
          </cell>
          <cell r="H96">
            <v>2008</v>
          </cell>
          <cell r="I96" t="str">
            <v>000</v>
          </cell>
        </row>
        <row r="97">
          <cell r="B97" t="str">
            <v>US$</v>
          </cell>
          <cell r="C97" t="str">
            <v>Mar</v>
          </cell>
          <cell r="D97" t="str">
            <v>P</v>
          </cell>
          <cell r="E97" t="str">
            <v>2m</v>
          </cell>
          <cell r="G97" t="str">
            <v>Jan 04B</v>
          </cell>
          <cell r="H97">
            <v>2009</v>
          </cell>
          <cell r="I97" t="str">
            <v>bn</v>
          </cell>
        </row>
        <row r="98">
          <cell r="B98" t="str">
            <v>¥</v>
          </cell>
          <cell r="C98" t="str">
            <v>Apr</v>
          </cell>
          <cell r="E98" t="str">
            <v>Q1</v>
          </cell>
          <cell r="G98" t="str">
            <v>Feb 04</v>
          </cell>
        </row>
        <row r="99">
          <cell r="B99" t="str">
            <v>DKK</v>
          </cell>
          <cell r="C99" t="str">
            <v>May</v>
          </cell>
          <cell r="E99" t="str">
            <v>4m</v>
          </cell>
          <cell r="G99" t="str">
            <v>Feb 04F</v>
          </cell>
        </row>
        <row r="100">
          <cell r="B100" t="str">
            <v>SEK</v>
          </cell>
          <cell r="C100" t="str">
            <v>Jun</v>
          </cell>
          <cell r="E100" t="str">
            <v>5m</v>
          </cell>
          <cell r="G100" t="str">
            <v>Feb 04B</v>
          </cell>
        </row>
        <row r="101">
          <cell r="B101" t="str">
            <v>NOK</v>
          </cell>
          <cell r="C101" t="str">
            <v>Jul</v>
          </cell>
          <cell r="E101" t="str">
            <v>H1</v>
          </cell>
          <cell r="G101" t="str">
            <v>Mar 04</v>
          </cell>
        </row>
        <row r="102">
          <cell r="B102" t="str">
            <v>CHF</v>
          </cell>
          <cell r="C102" t="str">
            <v>Aug</v>
          </cell>
          <cell r="E102" t="str">
            <v>7m</v>
          </cell>
          <cell r="G102" t="str">
            <v>Mar 04F</v>
          </cell>
        </row>
        <row r="103">
          <cell r="B103" t="str">
            <v>Kč</v>
          </cell>
          <cell r="C103" t="str">
            <v>Sep</v>
          </cell>
          <cell r="E103" t="str">
            <v>8m</v>
          </cell>
          <cell r="G103" t="str">
            <v>Mar 04B</v>
          </cell>
        </row>
        <row r="104">
          <cell r="B104" t="str">
            <v>C$</v>
          </cell>
          <cell r="C104" t="str">
            <v>Oct</v>
          </cell>
          <cell r="E104" t="str">
            <v>9m</v>
          </cell>
          <cell r="G104" t="str">
            <v>Apr 04</v>
          </cell>
        </row>
        <row r="105">
          <cell r="B105" t="str">
            <v>₩</v>
          </cell>
          <cell r="C105" t="str">
            <v>Nov</v>
          </cell>
          <cell r="E105" t="str">
            <v>10m</v>
          </cell>
          <cell r="G105" t="str">
            <v>Apr 04F</v>
          </cell>
        </row>
        <row r="106">
          <cell r="B106" t="str">
            <v>元</v>
          </cell>
          <cell r="C106" t="str">
            <v>Dec</v>
          </cell>
          <cell r="E106" t="str">
            <v>11m</v>
          </cell>
          <cell r="G106" t="str">
            <v>Apr 04B</v>
          </cell>
        </row>
        <row r="107">
          <cell r="G107" t="str">
            <v>May 04</v>
          </cell>
        </row>
        <row r="108">
          <cell r="G108" t="str">
            <v>May 04F</v>
          </cell>
        </row>
        <row r="109">
          <cell r="G109" t="str">
            <v>May 04B</v>
          </cell>
        </row>
        <row r="110">
          <cell r="G110" t="str">
            <v>Jun 04</v>
          </cell>
        </row>
        <row r="111">
          <cell r="G111" t="str">
            <v>Jun 04F</v>
          </cell>
        </row>
        <row r="112">
          <cell r="G112" t="str">
            <v>Jun 04B</v>
          </cell>
        </row>
        <row r="113">
          <cell r="G113" t="str">
            <v>Jul 04</v>
          </cell>
        </row>
        <row r="114">
          <cell r="G114" t="str">
            <v>Jul 04F</v>
          </cell>
        </row>
        <row r="115">
          <cell r="G115" t="str">
            <v>Jul 04B</v>
          </cell>
        </row>
        <row r="116">
          <cell r="G116" t="str">
            <v>Aug 04</v>
          </cell>
        </row>
        <row r="117">
          <cell r="G117" t="str">
            <v>Aug 04F</v>
          </cell>
        </row>
        <row r="118">
          <cell r="G118" t="str">
            <v>Aug 04B</v>
          </cell>
        </row>
        <row r="119">
          <cell r="G119" t="str">
            <v>Sep 04</v>
          </cell>
        </row>
        <row r="120">
          <cell r="G120" t="str">
            <v>Sep 04F</v>
          </cell>
        </row>
        <row r="121">
          <cell r="G121" t="str">
            <v>Sep 04B</v>
          </cell>
        </row>
        <row r="122">
          <cell r="G122" t="str">
            <v>Oct 04</v>
          </cell>
        </row>
        <row r="123">
          <cell r="G123" t="str">
            <v>Oct 04F</v>
          </cell>
        </row>
        <row r="124">
          <cell r="G124" t="str">
            <v>Oct 04B</v>
          </cell>
        </row>
        <row r="125">
          <cell r="G125" t="str">
            <v>Nov 04</v>
          </cell>
        </row>
        <row r="126">
          <cell r="G126" t="str">
            <v>Nov 04F</v>
          </cell>
        </row>
        <row r="127">
          <cell r="G127" t="str">
            <v>Nov 04B</v>
          </cell>
        </row>
        <row r="128">
          <cell r="G128" t="str">
            <v>Dec 04</v>
          </cell>
        </row>
        <row r="129">
          <cell r="G129" t="str">
            <v>Dec 04F</v>
          </cell>
        </row>
        <row r="130">
          <cell r="G130" t="str">
            <v>Dec 04B</v>
          </cell>
        </row>
        <row r="131">
          <cell r="G131" t="str">
            <v>Jan 05</v>
          </cell>
        </row>
        <row r="132">
          <cell r="G132" t="str">
            <v>Jan 05F</v>
          </cell>
        </row>
        <row r="133">
          <cell r="G133" t="str">
            <v>Jan 05B</v>
          </cell>
        </row>
        <row r="134">
          <cell r="G134" t="str">
            <v>Feb 05</v>
          </cell>
        </row>
        <row r="135">
          <cell r="G135" t="str">
            <v>Feb 05F</v>
          </cell>
        </row>
        <row r="136">
          <cell r="G136" t="str">
            <v>Feb 05B</v>
          </cell>
        </row>
        <row r="137">
          <cell r="G137" t="str">
            <v>Mar 05</v>
          </cell>
        </row>
        <row r="138">
          <cell r="G138" t="str">
            <v>Mar 05F</v>
          </cell>
        </row>
        <row r="139">
          <cell r="G139" t="str">
            <v>Mar 05B</v>
          </cell>
        </row>
        <row r="140">
          <cell r="G140" t="str">
            <v>Apr 05</v>
          </cell>
        </row>
        <row r="141">
          <cell r="G141" t="str">
            <v>Apr 05F</v>
          </cell>
        </row>
        <row r="142">
          <cell r="G142" t="str">
            <v>Apr 05B</v>
          </cell>
        </row>
        <row r="143">
          <cell r="G143" t="str">
            <v>May 05</v>
          </cell>
        </row>
        <row r="144">
          <cell r="G144" t="str">
            <v>May 05F</v>
          </cell>
        </row>
        <row r="145">
          <cell r="G145" t="str">
            <v>May 05B</v>
          </cell>
        </row>
        <row r="146">
          <cell r="G146" t="str">
            <v>Jun 05</v>
          </cell>
        </row>
        <row r="147">
          <cell r="G147" t="str">
            <v>Jun 05F</v>
          </cell>
        </row>
        <row r="148">
          <cell r="G148" t="str">
            <v>Jun 05B</v>
          </cell>
        </row>
        <row r="149">
          <cell r="G149" t="str">
            <v>Jul 05</v>
          </cell>
        </row>
        <row r="150">
          <cell r="G150" t="str">
            <v>Jul 05F</v>
          </cell>
        </row>
        <row r="151">
          <cell r="G151" t="str">
            <v>Jul 05B</v>
          </cell>
        </row>
        <row r="152">
          <cell r="G152" t="str">
            <v>Aug 05</v>
          </cell>
        </row>
        <row r="153">
          <cell r="G153" t="str">
            <v>Aug 05F</v>
          </cell>
        </row>
        <row r="154">
          <cell r="G154" t="str">
            <v>Aug 05B</v>
          </cell>
        </row>
        <row r="155">
          <cell r="G155" t="str">
            <v>Sep 05</v>
          </cell>
        </row>
        <row r="156">
          <cell r="G156" t="str">
            <v>Sep 05F</v>
          </cell>
        </row>
        <row r="157">
          <cell r="G157" t="str">
            <v>Sep 05B</v>
          </cell>
        </row>
        <row r="158">
          <cell r="G158" t="str">
            <v>Oct 05</v>
          </cell>
        </row>
        <row r="159">
          <cell r="G159" t="str">
            <v>Oct 05F</v>
          </cell>
        </row>
        <row r="160">
          <cell r="G160" t="str">
            <v>Oct 05B</v>
          </cell>
        </row>
        <row r="161">
          <cell r="G161" t="str">
            <v>Nov 05</v>
          </cell>
        </row>
        <row r="162">
          <cell r="G162" t="str">
            <v>Nov 05F</v>
          </cell>
        </row>
        <row r="163">
          <cell r="G163" t="str">
            <v>Nov 05B</v>
          </cell>
        </row>
        <row r="164">
          <cell r="G164" t="str">
            <v>Dec 05</v>
          </cell>
        </row>
        <row r="165">
          <cell r="G165" t="str">
            <v>Dec 05F</v>
          </cell>
        </row>
        <row r="166">
          <cell r="G166" t="str">
            <v>Dec 05B</v>
          </cell>
        </row>
        <row r="167">
          <cell r="G167" t="str">
            <v>Jan 06</v>
          </cell>
        </row>
        <row r="168">
          <cell r="G168" t="str">
            <v>Jan 06F</v>
          </cell>
        </row>
        <row r="169">
          <cell r="G169" t="str">
            <v>Jan 06B</v>
          </cell>
        </row>
        <row r="170">
          <cell r="G170" t="str">
            <v>Feb 06</v>
          </cell>
        </row>
        <row r="171">
          <cell r="G171" t="str">
            <v>Feb 06F</v>
          </cell>
        </row>
        <row r="172">
          <cell r="G172" t="str">
            <v>Feb 06B</v>
          </cell>
        </row>
        <row r="173">
          <cell r="G173" t="str">
            <v>Mar 06</v>
          </cell>
        </row>
        <row r="174">
          <cell r="G174" t="str">
            <v>Mar 06F</v>
          </cell>
        </row>
        <row r="175">
          <cell r="G175" t="str">
            <v>Mar 06B</v>
          </cell>
        </row>
        <row r="176">
          <cell r="G176" t="str">
            <v>Apr 06</v>
          </cell>
        </row>
        <row r="177">
          <cell r="G177" t="str">
            <v>Apr 06F</v>
          </cell>
        </row>
        <row r="178">
          <cell r="G178" t="str">
            <v>Apr 06B</v>
          </cell>
        </row>
        <row r="179">
          <cell r="G179" t="str">
            <v>May 06</v>
          </cell>
        </row>
        <row r="180">
          <cell r="G180" t="str">
            <v>May 06F</v>
          </cell>
        </row>
        <row r="181">
          <cell r="G181" t="str">
            <v>May 06B</v>
          </cell>
        </row>
        <row r="182">
          <cell r="G182" t="str">
            <v>Jun 06</v>
          </cell>
        </row>
        <row r="183">
          <cell r="G183" t="str">
            <v>Jun 06F</v>
          </cell>
        </row>
        <row r="184">
          <cell r="G184" t="str">
            <v>Jun 06B</v>
          </cell>
        </row>
        <row r="185">
          <cell r="G185" t="str">
            <v>Jul 06</v>
          </cell>
        </row>
        <row r="186">
          <cell r="G186" t="str">
            <v>Jul 06F</v>
          </cell>
        </row>
        <row r="187">
          <cell r="G187" t="str">
            <v>Jul 06B</v>
          </cell>
        </row>
        <row r="188">
          <cell r="G188" t="str">
            <v>Aug 06</v>
          </cell>
        </row>
        <row r="189">
          <cell r="G189" t="str">
            <v>Aug 06F</v>
          </cell>
        </row>
        <row r="190">
          <cell r="G190" t="str">
            <v>Aug 06B</v>
          </cell>
        </row>
        <row r="191">
          <cell r="G191" t="str">
            <v>Sep 06</v>
          </cell>
        </row>
        <row r="192">
          <cell r="G192" t="str">
            <v>Sep 06F</v>
          </cell>
        </row>
        <row r="193">
          <cell r="G193" t="str">
            <v>Sep 06B</v>
          </cell>
        </row>
        <row r="194">
          <cell r="G194" t="str">
            <v>Oct 06</v>
          </cell>
        </row>
        <row r="195">
          <cell r="G195" t="str">
            <v>Oct 06F</v>
          </cell>
        </row>
        <row r="196">
          <cell r="G196" t="str">
            <v>Oct 06B</v>
          </cell>
        </row>
        <row r="197">
          <cell r="G197" t="str">
            <v>Nov 06</v>
          </cell>
        </row>
        <row r="198">
          <cell r="G198" t="str">
            <v>Nov 06F</v>
          </cell>
        </row>
        <row r="199">
          <cell r="G199" t="str">
            <v>Nov 06B</v>
          </cell>
        </row>
        <row r="200">
          <cell r="G200" t="str">
            <v>Dec 06</v>
          </cell>
        </row>
        <row r="201">
          <cell r="G201" t="str">
            <v>Dec 06F</v>
          </cell>
        </row>
        <row r="202">
          <cell r="G202" t="str">
            <v>Dec 06B</v>
          </cell>
        </row>
        <row r="203">
          <cell r="G203" t="str">
            <v>Jan 07</v>
          </cell>
        </row>
        <row r="204">
          <cell r="G204" t="str">
            <v>Jan 07F</v>
          </cell>
        </row>
        <row r="205">
          <cell r="G205" t="str">
            <v>Jan 07B</v>
          </cell>
        </row>
        <row r="206">
          <cell r="G206" t="str">
            <v>Feb 07</v>
          </cell>
        </row>
        <row r="207">
          <cell r="G207" t="str">
            <v>Feb 07F</v>
          </cell>
        </row>
        <row r="208">
          <cell r="G208" t="str">
            <v>Feb 07B</v>
          </cell>
        </row>
        <row r="209">
          <cell r="G209" t="str">
            <v>Mar 07</v>
          </cell>
        </row>
        <row r="210">
          <cell r="G210" t="str">
            <v>Mar 07F</v>
          </cell>
        </row>
        <row r="211">
          <cell r="G211" t="str">
            <v>Mar 07B</v>
          </cell>
        </row>
        <row r="212">
          <cell r="G212" t="str">
            <v>Apr 07</v>
          </cell>
        </row>
        <row r="213">
          <cell r="G213" t="str">
            <v>Apr 07F</v>
          </cell>
        </row>
        <row r="214">
          <cell r="G214" t="str">
            <v>Apr 07B</v>
          </cell>
        </row>
        <row r="215">
          <cell r="G215" t="str">
            <v>May 07</v>
          </cell>
        </row>
        <row r="216">
          <cell r="G216" t="str">
            <v>May 07F</v>
          </cell>
        </row>
        <row r="217">
          <cell r="G217" t="str">
            <v>May 07B</v>
          </cell>
        </row>
        <row r="218">
          <cell r="G218" t="str">
            <v>Jun 07</v>
          </cell>
        </row>
        <row r="219">
          <cell r="G219" t="str">
            <v>Jun 07F</v>
          </cell>
        </row>
        <row r="220">
          <cell r="G220" t="str">
            <v>Jun 07B</v>
          </cell>
        </row>
        <row r="221">
          <cell r="G221" t="str">
            <v>Jul 07</v>
          </cell>
        </row>
        <row r="222">
          <cell r="G222" t="str">
            <v>Jul 07F</v>
          </cell>
        </row>
        <row r="223">
          <cell r="G223" t="str">
            <v>Jul 07B</v>
          </cell>
        </row>
        <row r="224">
          <cell r="G224" t="str">
            <v>Aug 07</v>
          </cell>
        </row>
        <row r="225">
          <cell r="G225" t="str">
            <v>Aug 07F</v>
          </cell>
        </row>
        <row r="226">
          <cell r="G226" t="str">
            <v>Aug 07B</v>
          </cell>
        </row>
        <row r="227">
          <cell r="G227" t="str">
            <v>Sep 07</v>
          </cell>
        </row>
        <row r="228">
          <cell r="G228" t="str">
            <v>Sep 07F</v>
          </cell>
        </row>
        <row r="229">
          <cell r="G229" t="str">
            <v>Sep 07B</v>
          </cell>
        </row>
        <row r="230">
          <cell r="G230" t="str">
            <v>Oct 07</v>
          </cell>
        </row>
        <row r="231">
          <cell r="G231" t="str">
            <v>Oct 07F</v>
          </cell>
        </row>
        <row r="232">
          <cell r="G232" t="str">
            <v>Oct 07B</v>
          </cell>
        </row>
        <row r="233">
          <cell r="G233" t="str">
            <v>Nov 07</v>
          </cell>
        </row>
        <row r="234">
          <cell r="G234" t="str">
            <v>Nov 07F</v>
          </cell>
        </row>
        <row r="235">
          <cell r="G235" t="str">
            <v>Nov 07B</v>
          </cell>
        </row>
        <row r="236">
          <cell r="G236" t="str">
            <v>Dec 07</v>
          </cell>
        </row>
        <row r="237">
          <cell r="G237" t="str">
            <v>Dec 07F</v>
          </cell>
        </row>
        <row r="238">
          <cell r="G238" t="str">
            <v>Dec 07B</v>
          </cell>
        </row>
        <row r="239">
          <cell r="G239" t="str">
            <v>Jan 08</v>
          </cell>
        </row>
        <row r="240">
          <cell r="G240" t="str">
            <v>Jan 08F</v>
          </cell>
        </row>
        <row r="241">
          <cell r="G241" t="str">
            <v>Jan 08B</v>
          </cell>
        </row>
        <row r="242">
          <cell r="G242" t="str">
            <v>Feb 08</v>
          </cell>
        </row>
        <row r="243">
          <cell r="G243" t="str">
            <v>Feb 08F</v>
          </cell>
        </row>
        <row r="244">
          <cell r="G244" t="str">
            <v>Feb 08B</v>
          </cell>
        </row>
        <row r="245">
          <cell r="G245" t="str">
            <v>Mar 08</v>
          </cell>
        </row>
        <row r="246">
          <cell r="G246" t="str">
            <v>Mar 08F</v>
          </cell>
        </row>
        <row r="247">
          <cell r="G247" t="str">
            <v>Mar 08B</v>
          </cell>
        </row>
        <row r="248">
          <cell r="G248" t="str">
            <v>Apr 08</v>
          </cell>
        </row>
        <row r="249">
          <cell r="G249" t="str">
            <v>Apr 08F</v>
          </cell>
        </row>
        <row r="250">
          <cell r="G250" t="str">
            <v>Apr 08B</v>
          </cell>
        </row>
        <row r="251">
          <cell r="G251" t="str">
            <v>May 08</v>
          </cell>
        </row>
        <row r="252">
          <cell r="G252" t="str">
            <v>May 08F</v>
          </cell>
        </row>
        <row r="253">
          <cell r="G253" t="str">
            <v>May 08B</v>
          </cell>
        </row>
        <row r="254">
          <cell r="G254" t="str">
            <v>Jun 08</v>
          </cell>
        </row>
        <row r="255">
          <cell r="G255" t="str">
            <v>Jun 08F</v>
          </cell>
        </row>
        <row r="256">
          <cell r="G256" t="str">
            <v>Jun 08B</v>
          </cell>
        </row>
        <row r="257">
          <cell r="G257" t="str">
            <v>Jul 08</v>
          </cell>
        </row>
        <row r="258">
          <cell r="G258" t="str">
            <v>Jul 08F</v>
          </cell>
        </row>
        <row r="259">
          <cell r="G259" t="str">
            <v>Jul 08B</v>
          </cell>
        </row>
        <row r="260">
          <cell r="G260" t="str">
            <v>Aug 08</v>
          </cell>
        </row>
        <row r="261">
          <cell r="G261" t="str">
            <v>Aug 08F</v>
          </cell>
        </row>
        <row r="262">
          <cell r="G262" t="str">
            <v>Aug 08B</v>
          </cell>
        </row>
        <row r="263">
          <cell r="G263" t="str">
            <v>Sep 08</v>
          </cell>
        </row>
        <row r="264">
          <cell r="G264" t="str">
            <v>Sep 08F</v>
          </cell>
        </row>
        <row r="265">
          <cell r="G265" t="str">
            <v>Sep 08B</v>
          </cell>
        </row>
        <row r="266">
          <cell r="G266" t="str">
            <v>Oct 08</v>
          </cell>
        </row>
        <row r="267">
          <cell r="G267" t="str">
            <v>Oct 08F</v>
          </cell>
        </row>
        <row r="268">
          <cell r="G268" t="str">
            <v>Oct 08B</v>
          </cell>
        </row>
        <row r="269">
          <cell r="G269" t="str">
            <v>Nov 08</v>
          </cell>
        </row>
        <row r="270">
          <cell r="G270" t="str">
            <v>Nov 08F</v>
          </cell>
        </row>
        <row r="271">
          <cell r="G271" t="str">
            <v>Nov 08B</v>
          </cell>
        </row>
        <row r="272">
          <cell r="G272" t="str">
            <v>Dec 08</v>
          </cell>
        </row>
        <row r="273">
          <cell r="G273" t="str">
            <v>Dec 08F</v>
          </cell>
        </row>
        <row r="274">
          <cell r="G274" t="str">
            <v>Dec 08B</v>
          </cell>
        </row>
        <row r="275">
          <cell r="G275" t="str">
            <v>Jan 09</v>
          </cell>
        </row>
        <row r="276">
          <cell r="G276" t="str">
            <v>Jan 09F</v>
          </cell>
        </row>
        <row r="277">
          <cell r="G277" t="str">
            <v>Jan 09B</v>
          </cell>
        </row>
        <row r="278">
          <cell r="G278" t="str">
            <v>Feb 09</v>
          </cell>
        </row>
        <row r="279">
          <cell r="G279" t="str">
            <v>Feb 09F</v>
          </cell>
        </row>
        <row r="280">
          <cell r="G280" t="str">
            <v>Feb 09B</v>
          </cell>
        </row>
        <row r="281">
          <cell r="G281" t="str">
            <v>Mar 09</v>
          </cell>
        </row>
        <row r="282">
          <cell r="G282" t="str">
            <v>Mar 09F</v>
          </cell>
        </row>
        <row r="283">
          <cell r="G283" t="str">
            <v>Mar 09B</v>
          </cell>
        </row>
        <row r="284">
          <cell r="G284" t="str">
            <v>Apr 09</v>
          </cell>
        </row>
        <row r="285">
          <cell r="G285" t="str">
            <v>Apr 09F</v>
          </cell>
        </row>
        <row r="286">
          <cell r="G286" t="str">
            <v>Apr 09B</v>
          </cell>
        </row>
        <row r="287">
          <cell r="G287" t="str">
            <v>May 09</v>
          </cell>
        </row>
        <row r="288">
          <cell r="G288" t="str">
            <v>May 09F</v>
          </cell>
        </row>
        <row r="289">
          <cell r="G289" t="str">
            <v>May 09B</v>
          </cell>
        </row>
        <row r="290">
          <cell r="G290" t="str">
            <v>Jun 09</v>
          </cell>
        </row>
        <row r="291">
          <cell r="G291" t="str">
            <v>Jun 09F</v>
          </cell>
        </row>
        <row r="292">
          <cell r="G292" t="str">
            <v>Jun 09B</v>
          </cell>
        </row>
        <row r="293">
          <cell r="G293" t="str">
            <v>Jul 09</v>
          </cell>
        </row>
        <row r="294">
          <cell r="G294" t="str">
            <v>Jul 09F</v>
          </cell>
        </row>
        <row r="295">
          <cell r="G295" t="str">
            <v>Jul 09B</v>
          </cell>
        </row>
        <row r="296">
          <cell r="G296" t="str">
            <v>Aug 09</v>
          </cell>
        </row>
        <row r="297">
          <cell r="G297" t="str">
            <v>Aug 09F</v>
          </cell>
        </row>
        <row r="298">
          <cell r="G298" t="str">
            <v>Aug 09B</v>
          </cell>
        </row>
        <row r="299">
          <cell r="G299" t="str">
            <v>Sep 09</v>
          </cell>
        </row>
        <row r="300">
          <cell r="G300" t="str">
            <v>Sep 09F</v>
          </cell>
        </row>
        <row r="301">
          <cell r="G301" t="str">
            <v>Sep 09B</v>
          </cell>
        </row>
        <row r="302">
          <cell r="G302" t="str">
            <v>Oct 09</v>
          </cell>
        </row>
        <row r="303">
          <cell r="G303" t="str">
            <v>Oct 09F</v>
          </cell>
        </row>
        <row r="304">
          <cell r="G304" t="str">
            <v>Oct 09B</v>
          </cell>
        </row>
        <row r="305">
          <cell r="G305" t="str">
            <v>Nov 09</v>
          </cell>
        </row>
        <row r="306">
          <cell r="G306" t="str">
            <v>Nov 09F</v>
          </cell>
        </row>
        <row r="307">
          <cell r="G307" t="str">
            <v>Nov 09B</v>
          </cell>
        </row>
        <row r="308">
          <cell r="G308" t="str">
            <v>Dec 09</v>
          </cell>
        </row>
        <row r="309">
          <cell r="G309" t="str">
            <v>Dec 09F</v>
          </cell>
        </row>
        <row r="310">
          <cell r="G310" t="str">
            <v>Dec 09B</v>
          </cell>
        </row>
        <row r="311">
          <cell r="G311" t="str">
            <v>Jan 10</v>
          </cell>
        </row>
        <row r="312">
          <cell r="G312" t="str">
            <v>Jan 10F</v>
          </cell>
        </row>
        <row r="313">
          <cell r="G313" t="str">
            <v>Jan 10B</v>
          </cell>
        </row>
        <row r="314">
          <cell r="G314" t="str">
            <v>Feb 10</v>
          </cell>
        </row>
        <row r="315">
          <cell r="G315" t="str">
            <v>Feb 10F</v>
          </cell>
        </row>
        <row r="316">
          <cell r="G316" t="str">
            <v>Feb 10B</v>
          </cell>
        </row>
        <row r="317">
          <cell r="G317" t="str">
            <v>Mar 10</v>
          </cell>
        </row>
        <row r="318">
          <cell r="G318" t="str">
            <v>Mar 10F</v>
          </cell>
        </row>
        <row r="319">
          <cell r="G319" t="str">
            <v>Mar 10B</v>
          </cell>
        </row>
        <row r="320">
          <cell r="G320" t="str">
            <v>Apr 10</v>
          </cell>
        </row>
        <row r="321">
          <cell r="G321" t="str">
            <v>Apr 10F</v>
          </cell>
        </row>
        <row r="322">
          <cell r="G322" t="str">
            <v>Apr 10B</v>
          </cell>
        </row>
        <row r="323">
          <cell r="G323" t="str">
            <v>May 10</v>
          </cell>
        </row>
        <row r="324">
          <cell r="G324" t="str">
            <v>May 10F</v>
          </cell>
        </row>
        <row r="325">
          <cell r="G325" t="str">
            <v>May 10B</v>
          </cell>
        </row>
        <row r="326">
          <cell r="G326" t="str">
            <v>Jun 10</v>
          </cell>
        </row>
        <row r="327">
          <cell r="G327" t="str">
            <v>Jun 10F</v>
          </cell>
        </row>
        <row r="328">
          <cell r="G328" t="str">
            <v>Jun 10B</v>
          </cell>
        </row>
        <row r="329">
          <cell r="G329" t="str">
            <v>Jul 10</v>
          </cell>
        </row>
        <row r="330">
          <cell r="G330" t="str">
            <v>Jul 10F</v>
          </cell>
        </row>
        <row r="331">
          <cell r="G331" t="str">
            <v>Jul 10B</v>
          </cell>
        </row>
        <row r="332">
          <cell r="G332" t="str">
            <v>Aug 10</v>
          </cell>
        </row>
        <row r="333">
          <cell r="G333" t="str">
            <v>Aug 10F</v>
          </cell>
        </row>
        <row r="334">
          <cell r="G334" t="str">
            <v>Aug 10B</v>
          </cell>
        </row>
        <row r="335">
          <cell r="G335" t="str">
            <v>Sep 10</v>
          </cell>
        </row>
        <row r="336">
          <cell r="G336" t="str">
            <v>Sep 10F</v>
          </cell>
        </row>
        <row r="337">
          <cell r="G337" t="str">
            <v>Sep 10B</v>
          </cell>
        </row>
        <row r="338">
          <cell r="G338" t="str">
            <v>Oct 10</v>
          </cell>
        </row>
        <row r="339">
          <cell r="G339" t="str">
            <v>Oct 10F</v>
          </cell>
        </row>
        <row r="340">
          <cell r="G340" t="str">
            <v>Oct 10B</v>
          </cell>
        </row>
        <row r="341">
          <cell r="G341" t="str">
            <v>Nov 10</v>
          </cell>
        </row>
        <row r="342">
          <cell r="G342" t="str">
            <v>Nov 10F</v>
          </cell>
        </row>
        <row r="343">
          <cell r="G343" t="str">
            <v>Nov 10B</v>
          </cell>
        </row>
        <row r="344">
          <cell r="G344" t="str">
            <v>Dec 10</v>
          </cell>
        </row>
        <row r="345">
          <cell r="G345" t="str">
            <v>Dec 10F</v>
          </cell>
        </row>
        <row r="346">
          <cell r="G346" t="str">
            <v>Dec 10B</v>
          </cell>
        </row>
        <row r="347">
          <cell r="G347" t="str">
            <v>Jan 11</v>
          </cell>
        </row>
        <row r="348">
          <cell r="G348" t="str">
            <v>Jan 11F</v>
          </cell>
        </row>
        <row r="349">
          <cell r="G349" t="str">
            <v>Jan 11B</v>
          </cell>
        </row>
        <row r="350">
          <cell r="G350" t="str">
            <v>Feb 11</v>
          </cell>
        </row>
        <row r="351">
          <cell r="G351" t="str">
            <v>Feb 11F</v>
          </cell>
        </row>
        <row r="352">
          <cell r="G352" t="str">
            <v>Feb 11B</v>
          </cell>
        </row>
        <row r="353">
          <cell r="G353" t="str">
            <v>Mar 11</v>
          </cell>
        </row>
        <row r="354">
          <cell r="G354" t="str">
            <v>Mar 11F</v>
          </cell>
        </row>
        <row r="355">
          <cell r="G355" t="str">
            <v>Mar 11B</v>
          </cell>
        </row>
        <row r="356">
          <cell r="G356" t="str">
            <v>Apr 11</v>
          </cell>
        </row>
        <row r="357">
          <cell r="G357" t="str">
            <v>Apr 11F</v>
          </cell>
        </row>
        <row r="358">
          <cell r="G358" t="str">
            <v>Apr 11B</v>
          </cell>
        </row>
        <row r="359">
          <cell r="G359" t="str">
            <v>May 11</v>
          </cell>
        </row>
        <row r="360">
          <cell r="G360" t="str">
            <v>May 11F</v>
          </cell>
        </row>
        <row r="361">
          <cell r="G361" t="str">
            <v>May 11B</v>
          </cell>
        </row>
        <row r="362">
          <cell r="G362" t="str">
            <v>Jun 11</v>
          </cell>
        </row>
        <row r="363">
          <cell r="G363" t="str">
            <v>Jun 11F</v>
          </cell>
        </row>
        <row r="364">
          <cell r="G364" t="str">
            <v>Jun 11B</v>
          </cell>
        </row>
        <row r="365">
          <cell r="G365" t="str">
            <v>Jul 11</v>
          </cell>
        </row>
        <row r="366">
          <cell r="G366" t="str">
            <v>Jul 11F</v>
          </cell>
        </row>
        <row r="367">
          <cell r="G367" t="str">
            <v>Jul 11B</v>
          </cell>
        </row>
        <row r="368">
          <cell r="G368" t="str">
            <v>Aug 11</v>
          </cell>
        </row>
        <row r="369">
          <cell r="G369" t="str">
            <v>Aug 11F</v>
          </cell>
        </row>
        <row r="370">
          <cell r="G370" t="str">
            <v>Aug 11B</v>
          </cell>
        </row>
        <row r="371">
          <cell r="G371" t="str">
            <v>Sep 11</v>
          </cell>
        </row>
        <row r="372">
          <cell r="G372" t="str">
            <v>Sep 11F</v>
          </cell>
        </row>
        <row r="373">
          <cell r="G373" t="str">
            <v>Sep 11B</v>
          </cell>
        </row>
        <row r="374">
          <cell r="G374" t="str">
            <v>Oct 11</v>
          </cell>
        </row>
        <row r="375">
          <cell r="G375" t="str">
            <v>Oct 11F</v>
          </cell>
        </row>
        <row r="376">
          <cell r="G376" t="str">
            <v>Oct 11B</v>
          </cell>
        </row>
        <row r="377">
          <cell r="G377" t="str">
            <v>Nov 11</v>
          </cell>
        </row>
        <row r="378">
          <cell r="G378" t="str">
            <v>Nov 11F</v>
          </cell>
        </row>
        <row r="379">
          <cell r="G379" t="str">
            <v>Nov 11B</v>
          </cell>
        </row>
        <row r="380">
          <cell r="G380" t="str">
            <v>Dec 11</v>
          </cell>
        </row>
        <row r="381">
          <cell r="G381" t="str">
            <v>Dec 11F</v>
          </cell>
        </row>
        <row r="382">
          <cell r="G382" t="str">
            <v>Dec 11B</v>
          </cell>
        </row>
        <row r="383">
          <cell r="G383" t="str">
            <v>Jan 12</v>
          </cell>
        </row>
        <row r="384">
          <cell r="G384" t="str">
            <v>Jan 12F</v>
          </cell>
        </row>
        <row r="385">
          <cell r="G385" t="str">
            <v>Jan 12B</v>
          </cell>
        </row>
        <row r="386">
          <cell r="G386" t="str">
            <v>Feb 12</v>
          </cell>
        </row>
        <row r="387">
          <cell r="G387" t="str">
            <v>Feb 12F</v>
          </cell>
        </row>
        <row r="388">
          <cell r="G388" t="str">
            <v>Feb 12B</v>
          </cell>
        </row>
        <row r="389">
          <cell r="G389" t="str">
            <v>Mar 12</v>
          </cell>
        </row>
        <row r="390">
          <cell r="G390" t="str">
            <v>Mar 12F</v>
          </cell>
        </row>
        <row r="391">
          <cell r="G391" t="str">
            <v>Mar 12B</v>
          </cell>
        </row>
        <row r="392">
          <cell r="G392" t="str">
            <v>Apr 12</v>
          </cell>
        </row>
        <row r="393">
          <cell r="G393" t="str">
            <v>Apr 12F</v>
          </cell>
        </row>
        <row r="394">
          <cell r="G394" t="str">
            <v>Apr 12B</v>
          </cell>
        </row>
        <row r="395">
          <cell r="G395" t="str">
            <v>May 12</v>
          </cell>
        </row>
        <row r="396">
          <cell r="G396" t="str">
            <v>May 12F</v>
          </cell>
        </row>
        <row r="397">
          <cell r="G397" t="str">
            <v>May 12B</v>
          </cell>
        </row>
        <row r="398">
          <cell r="G398" t="str">
            <v>Jun 12</v>
          </cell>
        </row>
        <row r="399">
          <cell r="G399" t="str">
            <v>Jun 12F</v>
          </cell>
        </row>
        <row r="400">
          <cell r="G400" t="str">
            <v>Jun 12B</v>
          </cell>
        </row>
        <row r="401">
          <cell r="G401" t="str">
            <v>Jul 12</v>
          </cell>
        </row>
        <row r="402">
          <cell r="G402" t="str">
            <v>Jul 12F</v>
          </cell>
        </row>
        <row r="403">
          <cell r="G403" t="str">
            <v>Jul 12B</v>
          </cell>
        </row>
        <row r="404">
          <cell r="G404" t="str">
            <v>Aug 12</v>
          </cell>
        </row>
        <row r="405">
          <cell r="G405" t="str">
            <v>Aug 12F</v>
          </cell>
        </row>
        <row r="406">
          <cell r="G406" t="str">
            <v>Aug 12B</v>
          </cell>
        </row>
        <row r="407">
          <cell r="G407" t="str">
            <v>Sep 12</v>
          </cell>
        </row>
        <row r="408">
          <cell r="G408" t="str">
            <v>Sep 12F</v>
          </cell>
        </row>
        <row r="409">
          <cell r="G409" t="str">
            <v>Sep 12B</v>
          </cell>
        </row>
        <row r="410">
          <cell r="G410" t="str">
            <v>Oct 12</v>
          </cell>
        </row>
        <row r="411">
          <cell r="G411" t="str">
            <v>Oct 12F</v>
          </cell>
        </row>
        <row r="412">
          <cell r="G412" t="str">
            <v>Oct 12B</v>
          </cell>
        </row>
        <row r="413">
          <cell r="G413" t="str">
            <v>Nov 12</v>
          </cell>
        </row>
        <row r="414">
          <cell r="G414" t="str">
            <v>Nov 12F</v>
          </cell>
        </row>
        <row r="415">
          <cell r="G415" t="str">
            <v>Nov 12B</v>
          </cell>
        </row>
        <row r="416">
          <cell r="G416" t="str">
            <v>Dec 12</v>
          </cell>
        </row>
        <row r="417">
          <cell r="G417" t="str">
            <v>Dec 12F</v>
          </cell>
        </row>
        <row r="418">
          <cell r="G418" t="str">
            <v>Dec 12B</v>
          </cell>
        </row>
      </sheetData>
      <sheetData sheetId="1" refreshError="1"/>
      <sheetData sheetId="2">
        <row r="5">
          <cell r="L5">
            <v>100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L6">
            <v>18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g"/>
      <sheetName val="Hyp."/>
      <sheetName val="Bilan 2004 (2)"/>
      <sheetName val="Bilan 2005 (2)"/>
      <sheetName val="Bilan 2006 (2)"/>
      <sheetName val="Bilan 2004"/>
      <sheetName val="Bilan 2005"/>
      <sheetName val="Bilan 2006"/>
      <sheetName val="ConsoEUR"/>
      <sheetName val="ConsoEUR (2)"/>
      <sheetName val="SynthèseEUR"/>
      <sheetName val="EauFranceEUR"/>
      <sheetName val="InternationalEUR"/>
      <sheetName val="PropreteEUR"/>
      <sheetName val="TravauxEUR "/>
      <sheetName val="OptimumEUR"/>
      <sheetName val="HoldingAleaEUR"/>
      <sheetName val="décomposition"/>
      <sheetName val="données en euro"/>
      <sheetName val="données en FRF"/>
      <sheetName val="ConsoFRF"/>
      <sheetName val="SynthèseFRF"/>
      <sheetName val="EauFranceFRF"/>
      <sheetName val="InternationalFRF"/>
      <sheetName val="PropreteFRF"/>
      <sheetName val="TravauxFRF"/>
      <sheetName val="DiversFRF"/>
      <sheetName val="HoldingAleaFRF"/>
      <sheetName val="Indicateurs"/>
      <sheetName val="Définitions"/>
      <sheetName val="Plan"/>
      <sheetName val="poubelle"/>
      <sheetName val="Conso "/>
      <sheetName val="Eau France"/>
      <sheetName val="International"/>
      <sheetName val="Propreté"/>
      <sheetName val="Travaux"/>
      <sheetName val="Holding"/>
      <sheetName val="SynthèseFRF (2)"/>
      <sheetName val="Détail"/>
      <sheetName val="détail REMIC 2000"/>
      <sheetName val="détail Investis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1">
          <cell r="I101">
            <v>61.641000000000005</v>
          </cell>
        </row>
        <row r="112">
          <cell r="I112">
            <v>-57.103999999999999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30D0-354B-4705-9D72-208E24D82944}">
  <dimension ref="A1:Q28"/>
  <sheetViews>
    <sheetView showGridLines="0" topLeftCell="A6" workbookViewId="0">
      <selection activeCell="L27" sqref="K24:L27"/>
    </sheetView>
  </sheetViews>
  <sheetFormatPr defaultColWidth="0" defaultRowHeight="15" x14ac:dyDescent="0.25"/>
  <cols>
    <col min="1" max="1" width="10.6640625" style="2" customWidth="1"/>
    <col min="2" max="2" width="27.33203125" style="1" bestFit="1" customWidth="1"/>
    <col min="3" max="4" width="16.109375" style="2" customWidth="1"/>
    <col min="5" max="6" width="16.109375" style="6" customWidth="1"/>
    <col min="7" max="8" width="10.6640625" style="6" customWidth="1"/>
    <col min="9" max="14" width="10.6640625" style="2" customWidth="1"/>
    <col min="15" max="17" width="0" style="2" hidden="1" customWidth="1"/>
    <col min="18" max="16384" width="10.6640625" style="2" hidden="1"/>
  </cols>
  <sheetData>
    <row r="1" spans="2:13" x14ac:dyDescent="0.25">
      <c r="E1" s="2"/>
      <c r="F1" s="2"/>
      <c r="G1" s="2"/>
      <c r="H1" s="2"/>
    </row>
    <row r="2" spans="2:13" ht="15.6" x14ac:dyDescent="0.25">
      <c r="B2" s="40" t="s">
        <v>39</v>
      </c>
      <c r="C2" s="4"/>
      <c r="D2" s="4"/>
      <c r="E2" s="5"/>
      <c r="F2" s="5"/>
      <c r="G2" s="5"/>
      <c r="H2" s="5"/>
      <c r="I2" s="5"/>
      <c r="J2" s="5"/>
      <c r="K2" s="5"/>
      <c r="L2" s="5"/>
      <c r="M2" s="5"/>
    </row>
    <row r="3" spans="2:13" x14ac:dyDescent="0.25">
      <c r="B3" s="21"/>
      <c r="C3" s="22"/>
    </row>
    <row r="4" spans="2:13" ht="18.600000000000001" x14ac:dyDescent="0.4">
      <c r="B4" s="1" t="s">
        <v>61</v>
      </c>
      <c r="C4" s="50">
        <v>2</v>
      </c>
    </row>
    <row r="5" spans="2:13" x14ac:dyDescent="0.25">
      <c r="B5" s="7" t="s">
        <v>15</v>
      </c>
      <c r="C5" s="68">
        <v>0.15</v>
      </c>
    </row>
    <row r="6" spans="2:13" x14ac:dyDescent="0.25">
      <c r="B6" s="7" t="s">
        <v>7</v>
      </c>
      <c r="C6" s="68">
        <v>0.05</v>
      </c>
    </row>
    <row r="7" spans="2:13" ht="18.600000000000001" x14ac:dyDescent="0.4">
      <c r="B7" s="7" t="s">
        <v>62</v>
      </c>
      <c r="C7" s="84">
        <f>+C4*(1+C6)</f>
        <v>2.1</v>
      </c>
    </row>
    <row r="8" spans="2:13" x14ac:dyDescent="0.25">
      <c r="B8" s="8" t="s">
        <v>37</v>
      </c>
      <c r="C8" s="73">
        <f>+C7/(C5-C6)</f>
        <v>21.000000000000004</v>
      </c>
    </row>
    <row r="9" spans="2:13" x14ac:dyDescent="0.25">
      <c r="C9" s="9"/>
    </row>
    <row r="10" spans="2:13" s="15" customFormat="1" x14ac:dyDescent="0.25">
      <c r="B10" s="13"/>
      <c r="C10" s="14"/>
    </row>
    <row r="11" spans="2:13" ht="15.6" x14ac:dyDescent="0.3">
      <c r="B11" s="38" t="s">
        <v>38</v>
      </c>
      <c r="C11" s="39" t="s">
        <v>37</v>
      </c>
    </row>
    <row r="12" spans="2:13" x14ac:dyDescent="0.25">
      <c r="B12" s="72">
        <v>0</v>
      </c>
      <c r="C12" s="84">
        <f t="shared" ref="C12:C27" si="0">+(($C$4*(1+B12))/($C$5-B12))</f>
        <v>13.333333333333334</v>
      </c>
    </row>
    <row r="13" spans="2:13" x14ac:dyDescent="0.25">
      <c r="B13" s="72">
        <f>+B12+1%</f>
        <v>0.01</v>
      </c>
      <c r="C13" s="84">
        <f t="shared" si="0"/>
        <v>14.428571428571431</v>
      </c>
    </row>
    <row r="14" spans="2:13" x14ac:dyDescent="0.25">
      <c r="B14" s="72">
        <f t="shared" ref="B14:B26" si="1">+B13+1%</f>
        <v>0.02</v>
      </c>
      <c r="C14" s="84">
        <f t="shared" si="0"/>
        <v>15.692307692307692</v>
      </c>
    </row>
    <row r="15" spans="2:13" x14ac:dyDescent="0.25">
      <c r="B15" s="72">
        <f t="shared" si="1"/>
        <v>0.03</v>
      </c>
      <c r="C15" s="84">
        <f t="shared" si="0"/>
        <v>17.166666666666668</v>
      </c>
    </row>
    <row r="16" spans="2:13" x14ac:dyDescent="0.25">
      <c r="B16" s="72">
        <f t="shared" si="1"/>
        <v>0.04</v>
      </c>
      <c r="C16" s="84">
        <f t="shared" si="0"/>
        <v>18.909090909090914</v>
      </c>
    </row>
    <row r="17" spans="2:3" x14ac:dyDescent="0.25">
      <c r="B17" s="81">
        <f t="shared" si="1"/>
        <v>0.05</v>
      </c>
      <c r="C17" s="85">
        <f t="shared" si="0"/>
        <v>21.000000000000004</v>
      </c>
    </row>
    <row r="18" spans="2:3" x14ac:dyDescent="0.25">
      <c r="B18" s="72">
        <f t="shared" si="1"/>
        <v>6.0000000000000005E-2</v>
      </c>
      <c r="C18" s="84">
        <f t="shared" si="0"/>
        <v>23.555555555555557</v>
      </c>
    </row>
    <row r="19" spans="2:3" x14ac:dyDescent="0.25">
      <c r="B19" s="72">
        <f t="shared" si="1"/>
        <v>7.0000000000000007E-2</v>
      </c>
      <c r="C19" s="84">
        <f t="shared" si="0"/>
        <v>26.750000000000007</v>
      </c>
    </row>
    <row r="20" spans="2:3" x14ac:dyDescent="0.25">
      <c r="B20" s="72">
        <f t="shared" si="1"/>
        <v>0.08</v>
      </c>
      <c r="C20" s="84">
        <f t="shared" si="0"/>
        <v>30.857142857142861</v>
      </c>
    </row>
    <row r="21" spans="2:3" x14ac:dyDescent="0.25">
      <c r="B21" s="72">
        <f t="shared" si="1"/>
        <v>0.09</v>
      </c>
      <c r="C21" s="84">
        <f t="shared" si="0"/>
        <v>36.333333333333336</v>
      </c>
    </row>
    <row r="22" spans="2:3" x14ac:dyDescent="0.25">
      <c r="B22" s="72">
        <f t="shared" si="1"/>
        <v>9.9999999999999992E-2</v>
      </c>
      <c r="C22" s="84">
        <f t="shared" si="0"/>
        <v>44</v>
      </c>
    </row>
    <row r="23" spans="2:3" x14ac:dyDescent="0.25">
      <c r="B23" s="72">
        <f t="shared" si="1"/>
        <v>0.10999999999999999</v>
      </c>
      <c r="C23" s="84">
        <f t="shared" si="0"/>
        <v>55.499999999999986</v>
      </c>
    </row>
    <row r="24" spans="2:3" x14ac:dyDescent="0.25">
      <c r="B24" s="72">
        <f t="shared" si="1"/>
        <v>0.11999999999999998</v>
      </c>
      <c r="C24" s="84">
        <f t="shared" si="0"/>
        <v>74.666666666666629</v>
      </c>
    </row>
    <row r="25" spans="2:3" x14ac:dyDescent="0.25">
      <c r="B25" s="72">
        <f t="shared" si="1"/>
        <v>0.12999999999999998</v>
      </c>
      <c r="C25" s="84">
        <f t="shared" si="0"/>
        <v>112.99999999999989</v>
      </c>
    </row>
    <row r="26" spans="2:3" x14ac:dyDescent="0.25">
      <c r="B26" s="72">
        <f t="shared" si="1"/>
        <v>0.13999999999999999</v>
      </c>
      <c r="C26" s="84">
        <f t="shared" si="0"/>
        <v>227.99999999999977</v>
      </c>
    </row>
    <row r="27" spans="2:3" x14ac:dyDescent="0.25">
      <c r="B27" s="72">
        <v>0.14990000000000001</v>
      </c>
      <c r="C27" s="84">
        <f t="shared" si="0"/>
        <v>22998.000000002532</v>
      </c>
    </row>
    <row r="28" spans="2:3" x14ac:dyDescent="0.25">
      <c r="B28" s="72"/>
      <c r="C28" s="5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D832-3727-4FDE-9A18-D27E5F876268}">
  <dimension ref="A1:W31"/>
  <sheetViews>
    <sheetView showGridLines="0" workbookViewId="0">
      <selection activeCell="D29" sqref="D29"/>
    </sheetView>
  </sheetViews>
  <sheetFormatPr defaultColWidth="0" defaultRowHeight="15" x14ac:dyDescent="0.25"/>
  <cols>
    <col min="1" max="1" width="10.6640625" style="2" customWidth="1"/>
    <col min="2" max="2" width="27.33203125" style="1" bestFit="1" customWidth="1"/>
    <col min="3" max="14" width="10.6640625" style="6" customWidth="1"/>
    <col min="15" max="15" width="10.6640625" style="2" customWidth="1"/>
    <col min="16" max="23" width="0" style="2" hidden="1" customWidth="1"/>
    <col min="24" max="16384" width="10.6640625" style="2" hidden="1"/>
  </cols>
  <sheetData>
    <row r="1" spans="2:14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15.6" x14ac:dyDescent="0.25">
      <c r="B2" s="40" t="s">
        <v>56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2:14" x14ac:dyDescent="0.25">
      <c r="C4" s="2">
        <v>0</v>
      </c>
      <c r="D4" s="2">
        <f>+C4+1</f>
        <v>1</v>
      </c>
      <c r="E4" s="2">
        <f t="shared" ref="E4:F4" si="0">+D4+1</f>
        <v>2</v>
      </c>
      <c r="F4" s="2">
        <f t="shared" si="0"/>
        <v>3</v>
      </c>
      <c r="G4" s="2">
        <f t="shared" ref="G4:K4" si="1">+F4+1</f>
        <v>4</v>
      </c>
      <c r="H4" s="2">
        <f t="shared" si="1"/>
        <v>5</v>
      </c>
      <c r="I4" s="2">
        <f t="shared" si="1"/>
        <v>6</v>
      </c>
      <c r="J4" s="2">
        <f t="shared" si="1"/>
        <v>7</v>
      </c>
      <c r="K4" s="2">
        <f t="shared" si="1"/>
        <v>8</v>
      </c>
      <c r="L4" s="2">
        <f t="shared" ref="L4:M4" si="2">+K4+1</f>
        <v>9</v>
      </c>
      <c r="M4" s="2">
        <f t="shared" si="2"/>
        <v>10</v>
      </c>
      <c r="N4" s="26" t="s">
        <v>57</v>
      </c>
    </row>
    <row r="5" spans="2:14" x14ac:dyDescent="0.25">
      <c r="B5" s="1" t="s">
        <v>6</v>
      </c>
      <c r="C5" s="74">
        <v>1.2</v>
      </c>
      <c r="D5" s="53">
        <f>+C5*(1+D6)</f>
        <v>1.26</v>
      </c>
      <c r="E5" s="53">
        <f>+D5*(1+E6)</f>
        <v>1.3356000000000001</v>
      </c>
      <c r="F5" s="53">
        <f>+E5*(1+F6)</f>
        <v>1.4424480000000002</v>
      </c>
      <c r="G5" s="53">
        <f t="shared" ref="G5:J5" si="3">+F5*(1+G6)</f>
        <v>1.5866928000000002</v>
      </c>
      <c r="H5" s="53">
        <f t="shared" si="3"/>
        <v>1.7294951520000004</v>
      </c>
      <c r="I5" s="53">
        <f t="shared" si="3"/>
        <v>1.8505598126400005</v>
      </c>
      <c r="J5" s="53">
        <f t="shared" si="3"/>
        <v>1.9523406023352003</v>
      </c>
      <c r="K5" s="53">
        <f>+J5*(1+K6)</f>
        <v>2.0304342264286084</v>
      </c>
      <c r="L5" s="53">
        <f>+K5*(1+L6)</f>
        <v>2.0913472532214668</v>
      </c>
      <c r="M5" s="53">
        <f>+L5*(1+M6)</f>
        <v>2.1436309345520033</v>
      </c>
      <c r="N5" s="53">
        <f>+M5*(1+N6)</f>
        <v>2.1865035532430435</v>
      </c>
    </row>
    <row r="6" spans="2:14" x14ac:dyDescent="0.25">
      <c r="B6" s="1" t="s">
        <v>7</v>
      </c>
      <c r="C6" s="75"/>
      <c r="D6" s="72">
        <v>0.05</v>
      </c>
      <c r="E6" s="72">
        <v>0.06</v>
      </c>
      <c r="F6" s="72">
        <v>0.08</v>
      </c>
      <c r="G6" s="72">
        <v>0.1</v>
      </c>
      <c r="H6" s="72">
        <v>0.09</v>
      </c>
      <c r="I6" s="72">
        <v>7.0000000000000007E-2</v>
      </c>
      <c r="J6" s="72">
        <v>5.5E-2</v>
      </c>
      <c r="K6" s="72">
        <v>0.04</v>
      </c>
      <c r="L6" s="72">
        <v>0.03</v>
      </c>
      <c r="M6" s="72">
        <v>2.5000000000000001E-2</v>
      </c>
      <c r="N6" s="72">
        <v>0.02</v>
      </c>
    </row>
    <row r="7" spans="2:14" x14ac:dyDescent="0.25">
      <c r="B7" s="1" t="s">
        <v>58</v>
      </c>
      <c r="C7" s="76"/>
      <c r="D7" s="72">
        <v>0.125</v>
      </c>
      <c r="E7" s="76">
        <f>+D7</f>
        <v>0.125</v>
      </c>
      <c r="F7" s="76">
        <f>+E7</f>
        <v>0.125</v>
      </c>
      <c r="G7" s="76">
        <f t="shared" ref="G7:J7" si="4">+F7</f>
        <v>0.125</v>
      </c>
      <c r="H7" s="76">
        <f t="shared" si="4"/>
        <v>0.125</v>
      </c>
      <c r="I7" s="76">
        <f t="shared" si="4"/>
        <v>0.125</v>
      </c>
      <c r="J7" s="76">
        <f t="shared" si="4"/>
        <v>0.125</v>
      </c>
      <c r="K7" s="76">
        <f>+J7</f>
        <v>0.125</v>
      </c>
      <c r="L7" s="76">
        <f>+K7</f>
        <v>0.125</v>
      </c>
      <c r="M7" s="76">
        <f t="shared" ref="M7" si="5">+K7</f>
        <v>0.125</v>
      </c>
      <c r="N7" s="72">
        <v>0.1</v>
      </c>
    </row>
    <row r="8" spans="2:14" x14ac:dyDescent="0.25">
      <c r="B8" s="1" t="s">
        <v>59</v>
      </c>
      <c r="C8" s="53"/>
      <c r="D8" s="53">
        <f t="shared" ref="D8:M8" si="6">+D5/(1+D7)^D4</f>
        <v>1.1200000000000001</v>
      </c>
      <c r="E8" s="53">
        <f t="shared" si="6"/>
        <v>1.0552888888888889</v>
      </c>
      <c r="F8" s="53">
        <f t="shared" si="6"/>
        <v>1.0130773333333334</v>
      </c>
      <c r="G8" s="53">
        <f t="shared" si="6"/>
        <v>0.99056450370370386</v>
      </c>
      <c r="H8" s="53">
        <f t="shared" si="6"/>
        <v>0.95974694136625538</v>
      </c>
      <c r="I8" s="53">
        <f t="shared" si="6"/>
        <v>0.91282597978834956</v>
      </c>
      <c r="J8" s="53">
        <f t="shared" si="6"/>
        <v>0.85602791882374107</v>
      </c>
      <c r="K8" s="53">
        <f t="shared" si="6"/>
        <v>0.79135025384594737</v>
      </c>
      <c r="L8" s="53">
        <f t="shared" si="6"/>
        <v>0.7245251212989563</v>
      </c>
      <c r="M8" s="53">
        <f t="shared" si="6"/>
        <v>0.66012288829460453</v>
      </c>
      <c r="N8" s="53">
        <f>+(N5/(N7-N6))/(1+D7)^M4</f>
        <v>8.4165668257562078</v>
      </c>
    </row>
    <row r="10" spans="2:14" ht="15.6" x14ac:dyDescent="0.3">
      <c r="B10" s="33" t="s">
        <v>37</v>
      </c>
      <c r="C10" s="78">
        <f>+SUM(D8:N8)</f>
        <v>17.500096655099988</v>
      </c>
    </row>
    <row r="13" spans="2:14" x14ac:dyDescent="0.25">
      <c r="C13" s="2">
        <v>0</v>
      </c>
      <c r="D13" s="2">
        <f>+C13+1</f>
        <v>1</v>
      </c>
      <c r="E13" s="2">
        <f t="shared" ref="E13:F13" si="7">+D13+1</f>
        <v>2</v>
      </c>
      <c r="F13" s="2">
        <f t="shared" si="7"/>
        <v>3</v>
      </c>
      <c r="G13" s="2">
        <f t="shared" ref="G13:K13" si="8">+F13+1</f>
        <v>4</v>
      </c>
      <c r="H13" s="2">
        <f t="shared" si="8"/>
        <v>5</v>
      </c>
      <c r="I13" s="2">
        <f t="shared" si="8"/>
        <v>6</v>
      </c>
      <c r="J13" s="2">
        <f t="shared" si="8"/>
        <v>7</v>
      </c>
      <c r="K13" s="2">
        <f t="shared" si="8"/>
        <v>8</v>
      </c>
      <c r="L13" s="2">
        <f t="shared" ref="L13:M13" si="9">+K13+1</f>
        <v>9</v>
      </c>
      <c r="M13" s="2">
        <f t="shared" si="9"/>
        <v>10</v>
      </c>
      <c r="N13" s="26" t="s">
        <v>57</v>
      </c>
    </row>
    <row r="14" spans="2:14" x14ac:dyDescent="0.25">
      <c r="B14" s="1" t="s">
        <v>6</v>
      </c>
      <c r="C14" s="74">
        <v>1.2</v>
      </c>
      <c r="D14" s="53">
        <f>+C14*(1+D15)</f>
        <v>1.26</v>
      </c>
      <c r="E14" s="53">
        <f>+D14*(1+E15)</f>
        <v>1.3230000000000002</v>
      </c>
      <c r="F14" s="53">
        <f>+E14*(1+F15)</f>
        <v>1.3891500000000003</v>
      </c>
      <c r="G14" s="53">
        <f t="shared" ref="G14:J14" si="10">+F14*(1+G15)</f>
        <v>1.4586075000000005</v>
      </c>
      <c r="H14" s="53">
        <f t="shared" si="10"/>
        <v>1.5315378750000006</v>
      </c>
      <c r="I14" s="53">
        <f t="shared" si="10"/>
        <v>1.6081147687500008</v>
      </c>
      <c r="J14" s="53">
        <f t="shared" si="10"/>
        <v>1.6885205071875009</v>
      </c>
      <c r="K14" s="53">
        <f t="shared" ref="K14" si="11">+J14*(1+K15)</f>
        <v>1.7729465325468761</v>
      </c>
      <c r="L14" s="53">
        <f>+K14*(1+L15)</f>
        <v>1.86159385917422</v>
      </c>
      <c r="M14" s="53">
        <f>+L14*(1+M15)</f>
        <v>1.954673552132931</v>
      </c>
      <c r="N14" s="53">
        <f>+M14*(1+N15)</f>
        <v>1.9937670231755897</v>
      </c>
    </row>
    <row r="15" spans="2:14" x14ac:dyDescent="0.25">
      <c r="B15" s="1" t="s">
        <v>7</v>
      </c>
      <c r="C15" s="75"/>
      <c r="D15" s="76">
        <f>+D6</f>
        <v>0.05</v>
      </c>
      <c r="E15" s="76">
        <f>+D15</f>
        <v>0.05</v>
      </c>
      <c r="F15" s="76">
        <f t="shared" ref="F15:K15" si="12">+E15</f>
        <v>0.05</v>
      </c>
      <c r="G15" s="76">
        <f t="shared" si="12"/>
        <v>0.05</v>
      </c>
      <c r="H15" s="76">
        <f t="shared" si="12"/>
        <v>0.05</v>
      </c>
      <c r="I15" s="76">
        <f t="shared" si="12"/>
        <v>0.05</v>
      </c>
      <c r="J15" s="76">
        <f t="shared" si="12"/>
        <v>0.05</v>
      </c>
      <c r="K15" s="76">
        <f t="shared" si="12"/>
        <v>0.05</v>
      </c>
      <c r="L15" s="76">
        <f t="shared" ref="L15:M15" si="13">+K15</f>
        <v>0.05</v>
      </c>
      <c r="M15" s="76">
        <f t="shared" si="13"/>
        <v>0.05</v>
      </c>
      <c r="N15" s="72">
        <v>0.02</v>
      </c>
    </row>
    <row r="16" spans="2:14" x14ac:dyDescent="0.25">
      <c r="B16" s="1" t="s">
        <v>58</v>
      </c>
      <c r="C16" s="76"/>
      <c r="D16" s="76">
        <f>+D7</f>
        <v>0.125</v>
      </c>
      <c r="E16" s="76">
        <f>+D16</f>
        <v>0.125</v>
      </c>
      <c r="F16" s="76">
        <f>+E16</f>
        <v>0.125</v>
      </c>
      <c r="G16" s="76">
        <f t="shared" ref="G16:J16" si="14">+F16</f>
        <v>0.125</v>
      </c>
      <c r="H16" s="76">
        <f t="shared" si="14"/>
        <v>0.125</v>
      </c>
      <c r="I16" s="76">
        <f t="shared" si="14"/>
        <v>0.125</v>
      </c>
      <c r="J16" s="76">
        <f t="shared" si="14"/>
        <v>0.125</v>
      </c>
      <c r="K16" s="76">
        <f>+J16</f>
        <v>0.125</v>
      </c>
      <c r="L16" s="76">
        <f t="shared" ref="L16:M16" si="15">+K16</f>
        <v>0.125</v>
      </c>
      <c r="M16" s="76">
        <f t="shared" si="15"/>
        <v>0.125</v>
      </c>
      <c r="N16" s="72">
        <v>0.1</v>
      </c>
    </row>
    <row r="17" spans="2:14" x14ac:dyDescent="0.25">
      <c r="B17" s="1" t="s">
        <v>59</v>
      </c>
      <c r="C17" s="53"/>
      <c r="D17" s="53">
        <f>+D14/(1+D16)^D13</f>
        <v>1.1200000000000001</v>
      </c>
      <c r="E17" s="53">
        <f>+E14/(1+E16)^E13</f>
        <v>1.0453333333333334</v>
      </c>
      <c r="F17" s="53">
        <f>+F14/(1+F16)^F13</f>
        <v>0.97564444444444465</v>
      </c>
      <c r="G17" s="53">
        <f t="shared" ref="G17" si="16">+G14/(1+G16)^G13</f>
        <v>0.91060148148148179</v>
      </c>
      <c r="H17" s="53">
        <f>+H14/(1+H16)^H13</f>
        <v>0.84989471604938305</v>
      </c>
      <c r="I17" s="53">
        <f t="shared" ref="I17" si="17">+I14/(1+I16)^I13</f>
        <v>0.79323506831275759</v>
      </c>
      <c r="J17" s="53">
        <f t="shared" ref="J17" si="18">+J14/(1+J16)^J13</f>
        <v>0.74035273042524041</v>
      </c>
      <c r="K17" s="53">
        <f t="shared" ref="K17" si="19">+K14/(1+K16)^K13</f>
        <v>0.69099588173022441</v>
      </c>
      <c r="L17" s="53">
        <f t="shared" ref="L17" si="20">+L14/(1+L16)^L13</f>
        <v>0.64492948961487628</v>
      </c>
      <c r="M17" s="53">
        <f t="shared" ref="M17" si="21">+M14/(1+M16)^M13</f>
        <v>0.60193419030721784</v>
      </c>
      <c r="N17" s="53">
        <f>+(N14/(N16-N15))/(1+D16)^M13</f>
        <v>7.6746609264170269</v>
      </c>
    </row>
    <row r="19" spans="2:14" ht="15.6" x14ac:dyDescent="0.3">
      <c r="B19" s="33" t="s">
        <v>37</v>
      </c>
      <c r="C19" s="78">
        <f>+SUM(D17:N17)</f>
        <v>16.047582262115984</v>
      </c>
    </row>
    <row r="22" spans="2:14" x14ac:dyDescent="0.25">
      <c r="C22" s="2">
        <v>0</v>
      </c>
      <c r="D22" s="2">
        <f>+C22+1</f>
        <v>1</v>
      </c>
      <c r="E22" s="2">
        <f t="shared" ref="E22:K22" si="22">+D22+1</f>
        <v>2</v>
      </c>
      <c r="F22" s="2">
        <f t="shared" si="22"/>
        <v>3</v>
      </c>
      <c r="G22" s="2">
        <f t="shared" si="22"/>
        <v>4</v>
      </c>
      <c r="H22" s="2">
        <f t="shared" si="22"/>
        <v>5</v>
      </c>
      <c r="I22" s="2">
        <f t="shared" si="22"/>
        <v>6</v>
      </c>
      <c r="J22" s="2">
        <f t="shared" si="22"/>
        <v>7</v>
      </c>
      <c r="K22" s="2">
        <f t="shared" si="22"/>
        <v>8</v>
      </c>
      <c r="L22" s="2">
        <f t="shared" ref="L22:M22" si="23">+K22+1</f>
        <v>9</v>
      </c>
      <c r="M22" s="2">
        <f t="shared" si="23"/>
        <v>10</v>
      </c>
      <c r="N22" s="26" t="s">
        <v>57</v>
      </c>
    </row>
    <row r="23" spans="2:14" x14ac:dyDescent="0.25">
      <c r="B23" s="1" t="s">
        <v>6</v>
      </c>
      <c r="C23" s="74">
        <v>1.2</v>
      </c>
      <c r="D23" s="53">
        <f>+C23*(1+D24)</f>
        <v>1.26</v>
      </c>
      <c r="E23" s="53">
        <f>+D23*(1+E24)</f>
        <v>1.3230000000000002</v>
      </c>
      <c r="F23" s="53">
        <f>+E23*(1+F24)</f>
        <v>1.3891500000000003</v>
      </c>
      <c r="G23" s="53">
        <f t="shared" ref="G23" si="24">+F23*(1+G24)</f>
        <v>1.4586075000000005</v>
      </c>
      <c r="H23" s="53">
        <f t="shared" ref="H23" si="25">+G23*(1+H24)</f>
        <v>1.5315378750000006</v>
      </c>
      <c r="I23" s="53">
        <f t="shared" ref="I23" si="26">+H23*(1+I24)</f>
        <v>1.6081147687500008</v>
      </c>
      <c r="J23" s="53">
        <f>+I23*(1+J24)</f>
        <v>1.6885205071875009</v>
      </c>
      <c r="K23" s="53">
        <f>+J23*(1+K24)</f>
        <v>1.7729465325468761</v>
      </c>
      <c r="L23" s="53">
        <f>+K23*(1+L24)</f>
        <v>1.86159385917422</v>
      </c>
      <c r="M23" s="53">
        <f>+L23*(1+M24)</f>
        <v>1.954673552132931</v>
      </c>
      <c r="N23" s="53">
        <f>+M23*(1+N24)</f>
        <v>1.9937670231755897</v>
      </c>
    </row>
    <row r="24" spans="2:14" x14ac:dyDescent="0.25">
      <c r="B24" s="1" t="s">
        <v>7</v>
      </c>
      <c r="C24" s="75"/>
      <c r="D24" s="76">
        <f>+D15</f>
        <v>0.05</v>
      </c>
      <c r="E24" s="76">
        <f>+D24</f>
        <v>0.05</v>
      </c>
      <c r="F24" s="76">
        <f t="shared" ref="F24:K24" si="27">+E24</f>
        <v>0.05</v>
      </c>
      <c r="G24" s="76">
        <f t="shared" si="27"/>
        <v>0.05</v>
      </c>
      <c r="H24" s="76">
        <f t="shared" si="27"/>
        <v>0.05</v>
      </c>
      <c r="I24" s="76">
        <f t="shared" si="27"/>
        <v>0.05</v>
      </c>
      <c r="J24" s="76">
        <f t="shared" si="27"/>
        <v>0.05</v>
      </c>
      <c r="K24" s="76">
        <f t="shared" si="27"/>
        <v>0.05</v>
      </c>
      <c r="L24" s="76">
        <f t="shared" ref="L24:M24" si="28">+K24</f>
        <v>0.05</v>
      </c>
      <c r="M24" s="76">
        <f t="shared" si="28"/>
        <v>0.05</v>
      </c>
      <c r="N24" s="72">
        <v>0.02</v>
      </c>
    </row>
    <row r="25" spans="2:14" x14ac:dyDescent="0.25">
      <c r="B25" s="1" t="s">
        <v>58</v>
      </c>
      <c r="C25" s="76"/>
      <c r="D25" s="76">
        <f>+D16</f>
        <v>0.125</v>
      </c>
      <c r="E25" s="76">
        <f>+D25</f>
        <v>0.125</v>
      </c>
      <c r="F25" s="76">
        <f>+E25</f>
        <v>0.125</v>
      </c>
      <c r="G25" s="76">
        <f t="shared" ref="G25:J25" si="29">+F25</f>
        <v>0.125</v>
      </c>
      <c r="H25" s="76">
        <f t="shared" si="29"/>
        <v>0.125</v>
      </c>
      <c r="I25" s="76">
        <f t="shared" si="29"/>
        <v>0.125</v>
      </c>
      <c r="J25" s="76">
        <f t="shared" si="29"/>
        <v>0.125</v>
      </c>
      <c r="K25" s="76">
        <f>+J25</f>
        <v>0.125</v>
      </c>
      <c r="L25" s="76">
        <f t="shared" ref="L25:M25" si="30">+K25</f>
        <v>0.125</v>
      </c>
      <c r="M25" s="76">
        <f t="shared" si="30"/>
        <v>0.125</v>
      </c>
      <c r="N25" s="72">
        <v>0.1</v>
      </c>
    </row>
    <row r="26" spans="2:14" x14ac:dyDescent="0.25">
      <c r="B26" s="1" t="s">
        <v>59</v>
      </c>
      <c r="C26" s="53"/>
      <c r="D26" s="53">
        <f>+D23/(1+D25)^D22</f>
        <v>1.1200000000000001</v>
      </c>
      <c r="E26" s="53">
        <f>+E23/(1+E25)^E22</f>
        <v>1.0453333333333334</v>
      </c>
      <c r="F26" s="53">
        <f>+F23/(1+F25)^F22</f>
        <v>0.97564444444444465</v>
      </c>
      <c r="G26" s="53">
        <f t="shared" ref="G26" si="31">+G23/(1+G25)^G22</f>
        <v>0.91060148148148179</v>
      </c>
      <c r="H26" s="53">
        <f t="shared" ref="H26" si="32">+H23/(1+H25)^H22</f>
        <v>0.84989471604938305</v>
      </c>
      <c r="I26" s="53">
        <f t="shared" ref="I26" si="33">+I23/(1+I25)^I22</f>
        <v>0.79323506831275759</v>
      </c>
      <c r="J26" s="53">
        <f t="shared" ref="J26" si="34">+J23/(1+J25)^J22</f>
        <v>0.74035273042524041</v>
      </c>
      <c r="K26" s="53">
        <f t="shared" ref="K26" si="35">+K23/(1+K25)^K22</f>
        <v>0.69099588173022441</v>
      </c>
      <c r="L26" s="53">
        <f t="shared" ref="L26" si="36">+L23/(1+L25)^L22</f>
        <v>0.64492948961487628</v>
      </c>
      <c r="M26" s="53">
        <f t="shared" ref="M26" si="37">+M23/(1+M25)^M22</f>
        <v>0.60193419030721784</v>
      </c>
      <c r="N26" s="53">
        <f>+(N23/(N25-N24))/(1+D25)^M22</f>
        <v>7.6746609264170269</v>
      </c>
    </row>
    <row r="28" spans="2:14" x14ac:dyDescent="0.25">
      <c r="B28" s="1" t="s">
        <v>60</v>
      </c>
      <c r="C28" s="77">
        <f>+(C23*(1+D24))*(1-(1+D24)^M22/(1+D25)^M22)/(D25-D24)</f>
        <v>8.3729213356989565</v>
      </c>
    </row>
    <row r="29" spans="2:14" x14ac:dyDescent="0.25">
      <c r="B29" s="79" t="s">
        <v>57</v>
      </c>
      <c r="C29" s="80">
        <f>+(N23/(N25-N24))/(1+M25)^M22</f>
        <v>7.6746609264170269</v>
      </c>
    </row>
    <row r="30" spans="2:14" ht="15.6" x14ac:dyDescent="0.3">
      <c r="B30" s="33" t="s">
        <v>37</v>
      </c>
      <c r="C30" s="78">
        <f>+SUM(C28:C29)</f>
        <v>16.047582262115984</v>
      </c>
    </row>
    <row r="31" spans="2:14" ht="15.6" x14ac:dyDescent="0.3">
      <c r="C31" s="82" t="str">
        <f>+IF(C30-C19=0,"Ok","Error")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topLeftCell="A3" workbookViewId="0">
      <selection activeCell="C17" sqref="B17:C27"/>
    </sheetView>
  </sheetViews>
  <sheetFormatPr defaultColWidth="0" defaultRowHeight="15" x14ac:dyDescent="0.25"/>
  <cols>
    <col min="1" max="1" width="10.6640625" style="2" customWidth="1"/>
    <col min="2" max="2" width="27.33203125" style="1" bestFit="1" customWidth="1"/>
    <col min="3" max="4" width="16.109375" style="2" customWidth="1"/>
    <col min="5" max="6" width="16.109375" style="6" customWidth="1"/>
    <col min="7" max="8" width="10.6640625" style="6" customWidth="1"/>
    <col min="9" max="14" width="10.6640625" style="2" customWidth="1"/>
    <col min="15" max="17" width="0" style="2" hidden="1" customWidth="1"/>
    <col min="18" max="16384" width="10.6640625" style="2" hidden="1"/>
  </cols>
  <sheetData>
    <row r="1" spans="2:13" x14ac:dyDescent="0.25">
      <c r="E1" s="2"/>
      <c r="F1" s="2"/>
      <c r="G1" s="2"/>
      <c r="H1" s="2"/>
    </row>
    <row r="2" spans="2:13" ht="15.6" x14ac:dyDescent="0.25">
      <c r="B2" s="3" t="str">
        <f ca="1">MID(CELL("filename",A1),FIND("]",CELL("filename",A1))+1,255)</f>
        <v>6.1</v>
      </c>
      <c r="C2" s="4"/>
      <c r="D2" s="4"/>
      <c r="E2" s="5"/>
      <c r="F2" s="5"/>
      <c r="G2" s="5"/>
      <c r="H2" s="5"/>
      <c r="I2" s="5"/>
      <c r="J2" s="5"/>
      <c r="K2" s="5"/>
      <c r="L2" s="5"/>
      <c r="M2" s="5"/>
    </row>
    <row r="3" spans="2:13" x14ac:dyDescent="0.25">
      <c r="B3" s="21"/>
      <c r="C3" s="22"/>
    </row>
    <row r="4" spans="2:13" x14ac:dyDescent="0.25">
      <c r="B4" s="7" t="s">
        <v>5</v>
      </c>
      <c r="C4" s="50">
        <v>3.47</v>
      </c>
    </row>
    <row r="5" spans="2:13" x14ac:dyDescent="0.25">
      <c r="B5" s="7" t="s">
        <v>6</v>
      </c>
      <c r="C5" s="50">
        <v>2.2200000000000002</v>
      </c>
    </row>
    <row r="6" spans="2:13" x14ac:dyDescent="0.25">
      <c r="B6" s="7" t="s">
        <v>2</v>
      </c>
      <c r="C6" s="68">
        <v>3.5000000000000003E-2</v>
      </c>
    </row>
    <row r="7" spans="2:13" x14ac:dyDescent="0.25">
      <c r="B7" s="7" t="s">
        <v>1</v>
      </c>
      <c r="C7" s="50">
        <v>0.8</v>
      </c>
    </row>
    <row r="8" spans="2:13" x14ac:dyDescent="0.25">
      <c r="B8" s="7" t="s">
        <v>3</v>
      </c>
      <c r="C8" s="68">
        <v>0.05</v>
      </c>
    </row>
    <row r="9" spans="2:13" x14ac:dyDescent="0.25">
      <c r="B9" s="7" t="s">
        <v>7</v>
      </c>
      <c r="C9" s="51">
        <v>3.5000000000000003E-2</v>
      </c>
    </row>
    <row r="10" spans="2:13" x14ac:dyDescent="0.25">
      <c r="B10" s="8" t="s">
        <v>10</v>
      </c>
      <c r="C10" s="52">
        <v>9.8000000000000004E-2</v>
      </c>
    </row>
    <row r="11" spans="2:13" x14ac:dyDescent="0.25">
      <c r="C11" s="9"/>
    </row>
    <row r="12" spans="2:13" s="12" customFormat="1" ht="15.6" x14ac:dyDescent="0.25">
      <c r="B12" s="10" t="s">
        <v>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2:13" s="15" customFormat="1" x14ac:dyDescent="0.25">
      <c r="B13" s="13"/>
      <c r="C13" s="14"/>
    </row>
    <row r="14" spans="2:13" ht="15.6" x14ac:dyDescent="0.3">
      <c r="B14" s="29" t="s">
        <v>4</v>
      </c>
      <c r="C14" s="64">
        <f>+C6+C7*C8</f>
        <v>7.5000000000000011E-2</v>
      </c>
    </row>
    <row r="15" spans="2:13" ht="15.6" x14ac:dyDescent="0.3">
      <c r="B15" s="33"/>
      <c r="C15" s="34"/>
    </row>
    <row r="16" spans="2:13" ht="15.6" x14ac:dyDescent="0.3">
      <c r="B16" s="29" t="s">
        <v>8</v>
      </c>
      <c r="C16" s="55">
        <f>+C5*(1+C9)/(C14-C9)</f>
        <v>57.442499999999988</v>
      </c>
    </row>
    <row r="17" spans="2:4" ht="15.6" x14ac:dyDescent="0.3">
      <c r="B17" s="33"/>
      <c r="C17" s="34"/>
    </row>
    <row r="18" spans="2:4" x14ac:dyDescent="0.25">
      <c r="B18" s="22" t="s">
        <v>36</v>
      </c>
      <c r="C18" s="69">
        <f>+C5/C4</f>
        <v>0.63976945244956773</v>
      </c>
    </row>
    <row r="19" spans="2:4" ht="15.6" x14ac:dyDescent="0.3">
      <c r="B19" s="29" t="s">
        <v>9</v>
      </c>
      <c r="C19" s="70">
        <f>1-C18</f>
        <v>0.36023054755043227</v>
      </c>
    </row>
    <row r="20" spans="2:4" ht="15.6" x14ac:dyDescent="0.3">
      <c r="B20" s="33"/>
      <c r="C20" s="34"/>
    </row>
    <row r="21" spans="2:4" x14ac:dyDescent="0.25">
      <c r="B21" s="2" t="s">
        <v>9</v>
      </c>
      <c r="C21" s="54">
        <f>+C19</f>
        <v>0.36023054755043227</v>
      </c>
    </row>
    <row r="22" spans="2:4" x14ac:dyDescent="0.25">
      <c r="B22" s="22" t="s">
        <v>35</v>
      </c>
      <c r="C22" s="71">
        <f>+C10</f>
        <v>9.8000000000000004E-2</v>
      </c>
    </row>
    <row r="23" spans="2:4" ht="15.6" x14ac:dyDescent="0.3">
      <c r="B23" s="29" t="s">
        <v>11</v>
      </c>
      <c r="C23" s="70">
        <f>+C21*C22</f>
        <v>3.5302593659942365E-2</v>
      </c>
      <c r="D23" s="16" t="s">
        <v>12</v>
      </c>
    </row>
    <row r="24" spans="2:4" ht="15.6" x14ac:dyDescent="0.3">
      <c r="B24" s="35"/>
      <c r="C24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35"/>
  <sheetViews>
    <sheetView showGridLines="0" tabSelected="1" topLeftCell="C14" workbookViewId="0">
      <selection activeCell="M30" sqref="M30"/>
    </sheetView>
  </sheetViews>
  <sheetFormatPr defaultColWidth="0" defaultRowHeight="15" x14ac:dyDescent="0.25"/>
  <cols>
    <col min="1" max="1" width="10.6640625" style="2" customWidth="1"/>
    <col min="2" max="2" width="33.33203125" style="1" bestFit="1" customWidth="1"/>
    <col min="3" max="13" width="16.109375" style="2" customWidth="1"/>
    <col min="14" max="14" width="10.6640625" style="2" customWidth="1"/>
    <col min="15" max="17" width="0" style="2" hidden="1" customWidth="1"/>
    <col min="18" max="16384" width="10.6640625" style="2" hidden="1"/>
  </cols>
  <sheetData>
    <row r="2" spans="2:13" ht="15.6" x14ac:dyDescent="0.25">
      <c r="B2" s="3" t="str">
        <f ca="1">MID(CELL("filename",A1),FIND("]",CELL("filename",A1))+1,255)</f>
        <v>6.2-3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x14ac:dyDescent="0.25">
      <c r="B3" s="21"/>
      <c r="C3" s="22"/>
    </row>
    <row r="4" spans="2:13" x14ac:dyDescent="0.25">
      <c r="B4" s="7" t="s">
        <v>5</v>
      </c>
      <c r="C4" s="50">
        <v>3.553512608849557</v>
      </c>
    </row>
    <row r="5" spans="2:13" x14ac:dyDescent="0.25">
      <c r="B5" s="7" t="s">
        <v>6</v>
      </c>
      <c r="C5" s="50">
        <v>2.2599999999999998</v>
      </c>
    </row>
    <row r="6" spans="2:13" x14ac:dyDescent="0.25">
      <c r="B6" s="7" t="s">
        <v>15</v>
      </c>
      <c r="C6" s="51">
        <v>8.4500000000000006E-2</v>
      </c>
    </row>
    <row r="7" spans="2:13" x14ac:dyDescent="0.25">
      <c r="B7" s="7" t="s">
        <v>13</v>
      </c>
      <c r="C7" s="51">
        <v>0.36399999999999999</v>
      </c>
      <c r="D7" s="98"/>
    </row>
    <row r="8" spans="2:13" x14ac:dyDescent="0.25">
      <c r="B8" s="7" t="s">
        <v>17</v>
      </c>
      <c r="C8" s="51">
        <v>0.25</v>
      </c>
    </row>
    <row r="9" spans="2:13" x14ac:dyDescent="0.25">
      <c r="B9" s="7" t="s">
        <v>18</v>
      </c>
      <c r="C9" s="51">
        <v>0.15</v>
      </c>
    </row>
    <row r="10" spans="2:13" x14ac:dyDescent="0.25">
      <c r="B10" s="7" t="s">
        <v>21</v>
      </c>
      <c r="C10" s="51">
        <v>0.03</v>
      </c>
    </row>
    <row r="11" spans="2:13" x14ac:dyDescent="0.25">
      <c r="B11" s="8" t="s">
        <v>50</v>
      </c>
      <c r="C11" s="52">
        <v>0.09</v>
      </c>
    </row>
    <row r="12" spans="2:13" x14ac:dyDescent="0.25">
      <c r="C12" s="9"/>
    </row>
    <row r="13" spans="2:13" s="12" customFormat="1" ht="15.6" x14ac:dyDescent="0.25">
      <c r="B13" s="10" t="s">
        <v>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2:13" s="15" customFormat="1" x14ac:dyDescent="0.25">
      <c r="B14" s="13"/>
      <c r="C14" s="14"/>
    </row>
    <row r="15" spans="2:13" s="15" customFormat="1" x14ac:dyDescent="0.25">
      <c r="B15" s="36" t="s">
        <v>33</v>
      </c>
      <c r="C15" s="62">
        <f>+C7</f>
        <v>0.36399999999999999</v>
      </c>
    </row>
    <row r="16" spans="2:13" s="15" customFormat="1" x14ac:dyDescent="0.25">
      <c r="B16" s="37" t="s">
        <v>34</v>
      </c>
      <c r="C16" s="63">
        <f>+C8</f>
        <v>0.25</v>
      </c>
    </row>
    <row r="17" spans="2:14" ht="15.6" x14ac:dyDescent="0.3">
      <c r="B17" s="29" t="s">
        <v>51</v>
      </c>
      <c r="C17" s="64">
        <f>+C15*C16</f>
        <v>9.0999999999999998E-2</v>
      </c>
    </row>
    <row r="18" spans="2:14" x14ac:dyDescent="0.25">
      <c r="H18" s="23"/>
    </row>
    <row r="19" spans="2:14" x14ac:dyDescent="0.25">
      <c r="B19" s="36" t="s">
        <v>53</v>
      </c>
      <c r="C19" s="62">
        <f>+C10</f>
        <v>0.03</v>
      </c>
      <c r="H19" s="23"/>
    </row>
    <row r="20" spans="2:14" x14ac:dyDescent="0.25">
      <c r="B20" s="37" t="s">
        <v>54</v>
      </c>
      <c r="C20" s="63">
        <f>+C9</f>
        <v>0.15</v>
      </c>
      <c r="H20" s="23"/>
    </row>
    <row r="21" spans="2:14" x14ac:dyDescent="0.25">
      <c r="B21" s="20" t="s">
        <v>55</v>
      </c>
      <c r="C21" s="65">
        <f>+C19/C20</f>
        <v>0.2</v>
      </c>
      <c r="H21" s="23"/>
    </row>
    <row r="22" spans="2:14" x14ac:dyDescent="0.25">
      <c r="H22" s="23"/>
    </row>
    <row r="23" spans="2:14" x14ac:dyDescent="0.25">
      <c r="B23" s="20" t="s">
        <v>52</v>
      </c>
      <c r="C23" s="54">
        <f>1-C21</f>
        <v>0.8</v>
      </c>
      <c r="H23" s="23"/>
    </row>
    <row r="24" spans="2:14" x14ac:dyDescent="0.25">
      <c r="H24" s="23"/>
    </row>
    <row r="25" spans="2:14" x14ac:dyDescent="0.25">
      <c r="C25" s="99" t="s">
        <v>40</v>
      </c>
      <c r="D25" s="99"/>
      <c r="E25" s="99"/>
      <c r="F25" s="99"/>
      <c r="G25" s="99"/>
      <c r="H25" s="99" t="s">
        <v>41</v>
      </c>
      <c r="I25" s="99"/>
      <c r="J25" s="99"/>
      <c r="K25" s="99"/>
      <c r="L25" s="99"/>
      <c r="M25" s="26" t="s">
        <v>42</v>
      </c>
    </row>
    <row r="26" spans="2:14" x14ac:dyDescent="0.25">
      <c r="C26" s="31">
        <v>1</v>
      </c>
      <c r="D26" s="2">
        <f>+C26+1</f>
        <v>2</v>
      </c>
      <c r="E26" s="2">
        <f t="shared" ref="E26:L26" si="0">+D26+1</f>
        <v>3</v>
      </c>
      <c r="F26" s="2">
        <f t="shared" si="0"/>
        <v>4</v>
      </c>
      <c r="G26" s="41">
        <f t="shared" si="0"/>
        <v>5</v>
      </c>
      <c r="H26" s="2">
        <f t="shared" si="0"/>
        <v>6</v>
      </c>
      <c r="I26" s="2">
        <f t="shared" si="0"/>
        <v>7</v>
      </c>
      <c r="J26" s="2">
        <f t="shared" si="0"/>
        <v>8</v>
      </c>
      <c r="K26" s="2">
        <f t="shared" si="0"/>
        <v>9</v>
      </c>
      <c r="L26" s="41">
        <f t="shared" si="0"/>
        <v>10</v>
      </c>
      <c r="M26" s="2">
        <f>+L26+1</f>
        <v>11</v>
      </c>
    </row>
    <row r="27" spans="2:14" x14ac:dyDescent="0.25">
      <c r="B27" s="20" t="s">
        <v>7</v>
      </c>
      <c r="C27" s="54">
        <f>+C17</f>
        <v>9.0999999999999998E-2</v>
      </c>
      <c r="D27" s="54">
        <f>+C27</f>
        <v>9.0999999999999998E-2</v>
      </c>
      <c r="E27" s="54">
        <f>+D27</f>
        <v>9.0999999999999998E-2</v>
      </c>
      <c r="F27" s="54">
        <f>+E27</f>
        <v>9.0999999999999998E-2</v>
      </c>
      <c r="G27" s="66">
        <f>+F27</f>
        <v>9.0999999999999998E-2</v>
      </c>
      <c r="H27" s="54">
        <f>+C17-(C17-$L$27)/COUNTA($H$26:$L$26)</f>
        <v>7.8799999999999995E-2</v>
      </c>
      <c r="I27" s="54">
        <f>+H27-($C$17-$L$27)/COUNTA($H$26:$L$26)</f>
        <v>6.6599999999999993E-2</v>
      </c>
      <c r="J27" s="54">
        <f>+I27-($C$17-$L$27)/COUNTA($H$26:$L$26)</f>
        <v>5.439999999999999E-2</v>
      </c>
      <c r="K27" s="54">
        <f>+J27-($C$17-$L$27)/COUNTA($H$26:$L$26)</f>
        <v>4.2199999999999988E-2</v>
      </c>
      <c r="L27" s="42">
        <f>+C10</f>
        <v>0.03</v>
      </c>
      <c r="M27" s="17"/>
    </row>
    <row r="28" spans="2:14" x14ac:dyDescent="0.25">
      <c r="B28" s="20" t="s">
        <v>5</v>
      </c>
      <c r="C28" s="83">
        <f>+C4*(1+$C$17)</f>
        <v>3.8768822562548664</v>
      </c>
      <c r="D28" s="83">
        <f>+C28*(1+$C$17)</f>
        <v>4.2296785415740592</v>
      </c>
      <c r="E28" s="83">
        <f>+D28*(1+$C$17)</f>
        <v>4.6145792888572981</v>
      </c>
      <c r="F28" s="83">
        <f>+E28*(1+$C$17)</f>
        <v>5.0345060041433118</v>
      </c>
      <c r="G28" s="95">
        <f>+F28*(1+$C$17)</f>
        <v>5.4926460505203529</v>
      </c>
      <c r="H28" s="83">
        <f>+G28*(1+H27)</f>
        <v>5.9254665593013565</v>
      </c>
      <c r="I28" s="83">
        <f t="shared" ref="I28:L28" si="1">+H28*(1+I27)</f>
        <v>6.3201026321508271</v>
      </c>
      <c r="J28" s="83">
        <f t="shared" si="1"/>
        <v>6.6639162153398326</v>
      </c>
      <c r="K28" s="83">
        <f t="shared" si="1"/>
        <v>6.9451334796271738</v>
      </c>
      <c r="L28" s="95">
        <f t="shared" si="1"/>
        <v>7.1534874840159892</v>
      </c>
      <c r="M28" s="19"/>
    </row>
    <row r="29" spans="2:14" x14ac:dyDescent="0.25">
      <c r="B29" s="20" t="s">
        <v>14</v>
      </c>
      <c r="C29" s="54">
        <f>1-$C$7</f>
        <v>0.63600000000000001</v>
      </c>
      <c r="D29" s="54">
        <f>1-$C$7</f>
        <v>0.63600000000000001</v>
      </c>
      <c r="E29" s="54">
        <f>1-$C$7</f>
        <v>0.63600000000000001</v>
      </c>
      <c r="F29" s="54">
        <f>1-$C$7</f>
        <v>0.63600000000000001</v>
      </c>
      <c r="G29" s="66">
        <f>1-$C$7</f>
        <v>0.63600000000000001</v>
      </c>
      <c r="H29" s="67">
        <f>+G29+($L$29-$G$29)/COUNT($H$26:$L$26)</f>
        <v>0.66880000000000006</v>
      </c>
      <c r="I29" s="67">
        <f t="shared" ref="I29:K29" si="2">+H29+($L$29-$G$29)/COUNT($H$26:$L$26)</f>
        <v>0.70160000000000011</v>
      </c>
      <c r="J29" s="67">
        <f t="shared" si="2"/>
        <v>0.73440000000000016</v>
      </c>
      <c r="K29" s="67">
        <f t="shared" si="2"/>
        <v>0.76720000000000022</v>
      </c>
      <c r="L29" s="42">
        <f>1-L27/C9</f>
        <v>0.8</v>
      </c>
      <c r="M29" s="25"/>
    </row>
    <row r="30" spans="2:14" x14ac:dyDescent="0.25">
      <c r="B30" s="20" t="s">
        <v>6</v>
      </c>
      <c r="C30" s="83">
        <f>+C28*C29</f>
        <v>2.4656971149780951</v>
      </c>
      <c r="D30" s="83">
        <f t="shared" ref="D30:G30" si="3">+D28*D29</f>
        <v>2.6900755524411015</v>
      </c>
      <c r="E30" s="83">
        <f t="shared" si="3"/>
        <v>2.9348724277132416</v>
      </c>
      <c r="F30" s="83">
        <f t="shared" si="3"/>
        <v>3.2019458186351466</v>
      </c>
      <c r="G30" s="95">
        <f t="shared" si="3"/>
        <v>3.4933228881309444</v>
      </c>
      <c r="H30" s="83">
        <f t="shared" ref="H30" si="4">+H28*H29</f>
        <v>3.9629520348607477</v>
      </c>
      <c r="I30" s="83">
        <f t="shared" ref="I30" si="5">+I28*I29</f>
        <v>4.4341840067170208</v>
      </c>
      <c r="J30" s="83">
        <f t="shared" ref="J30" si="6">+J28*J29</f>
        <v>4.8939800685455745</v>
      </c>
      <c r="K30" s="83">
        <f t="shared" ref="K30" si="7">+K28*K29</f>
        <v>5.3283064055699692</v>
      </c>
      <c r="L30" s="95">
        <f t="shared" ref="L30" si="8">+L28*L29</f>
        <v>5.7227899872127921</v>
      </c>
      <c r="M30" s="83">
        <f>+(L28*(1+L27)*L29)/(L31-L27)</f>
        <v>98.241228113819602</v>
      </c>
    </row>
    <row r="31" spans="2:14" x14ac:dyDescent="0.25">
      <c r="B31" s="20" t="s">
        <v>15</v>
      </c>
      <c r="C31" s="54">
        <f>+C6</f>
        <v>8.4500000000000006E-2</v>
      </c>
      <c r="D31" s="54">
        <f>+C31</f>
        <v>8.4500000000000006E-2</v>
      </c>
      <c r="E31" s="54">
        <f>+D31</f>
        <v>8.4500000000000006E-2</v>
      </c>
      <c r="F31" s="54">
        <f>+E31</f>
        <v>8.4500000000000006E-2</v>
      </c>
      <c r="G31" s="66">
        <f>+F31</f>
        <v>8.4500000000000006E-2</v>
      </c>
      <c r="H31" s="67">
        <f>+G31+($L$31-$G$31)/COUNT($H$26:$L$26)</f>
        <v>8.5600000000000009E-2</v>
      </c>
      <c r="I31" s="67">
        <f t="shared" ref="I31:J31" si="9">+H31+($L$31-$G$31)/COUNT($H$26:$L$26)</f>
        <v>8.6700000000000013E-2</v>
      </c>
      <c r="J31" s="67">
        <f t="shared" si="9"/>
        <v>8.7800000000000017E-2</v>
      </c>
      <c r="K31" s="67">
        <f>+J31+($L$31-$G$31)/COUNT($H$26:$L$26)</f>
        <v>8.8900000000000021E-2</v>
      </c>
      <c r="L31" s="42">
        <f>+C11</f>
        <v>0.09</v>
      </c>
      <c r="M31" s="17"/>
    </row>
    <row r="32" spans="2:14" x14ac:dyDescent="0.25">
      <c r="B32" s="30" t="s">
        <v>16</v>
      </c>
      <c r="C32" s="89">
        <f>+(1+C31)^C26</f>
        <v>1.0845</v>
      </c>
      <c r="D32" s="89">
        <f t="shared" ref="D32:G32" si="10">+(1+D31)^D26</f>
        <v>1.17614025</v>
      </c>
      <c r="E32" s="89">
        <f t="shared" si="10"/>
        <v>1.275524101125</v>
      </c>
      <c r="F32" s="89">
        <f t="shared" si="10"/>
        <v>1.3833058876700626</v>
      </c>
      <c r="G32" s="96">
        <f t="shared" si="10"/>
        <v>1.5001952351781829</v>
      </c>
      <c r="H32" s="89">
        <f>+(1+G31)^G26*(1+H31)</f>
        <v>1.6286119473094351</v>
      </c>
      <c r="I32" s="89">
        <f>+H32*(1+I31)</f>
        <v>1.7698126031411632</v>
      </c>
      <c r="J32" s="89">
        <f>+I32*(1+J31)</f>
        <v>1.9252021496969576</v>
      </c>
      <c r="K32" s="89">
        <f>+J32*(1+K31)</f>
        <v>2.0963526208050172</v>
      </c>
      <c r="L32" s="96">
        <f>+K32*(1+L31)</f>
        <v>2.2850243566774688</v>
      </c>
      <c r="M32" s="89"/>
      <c r="N32" s="53"/>
    </row>
    <row r="33" spans="2:14" ht="15.6" x14ac:dyDescent="0.3">
      <c r="B33" s="29" t="s">
        <v>32</v>
      </c>
      <c r="C33" s="90">
        <f t="shared" ref="C33:G33" si="11">+C30/C32</f>
        <v>2.2735796357566573</v>
      </c>
      <c r="D33" s="90">
        <f t="shared" si="11"/>
        <v>2.2872064385528015</v>
      </c>
      <c r="E33" s="90">
        <f t="shared" si="11"/>
        <v>2.3009149142103329</v>
      </c>
      <c r="F33" s="90">
        <f t="shared" si="11"/>
        <v>2.3147055522392561</v>
      </c>
      <c r="G33" s="97">
        <f t="shared" si="11"/>
        <v>2.3285788450834746</v>
      </c>
      <c r="H33" s="90">
        <f>+H30/H32</f>
        <v>2.433331059254344</v>
      </c>
      <c r="I33" s="90">
        <f>+I30/I32</f>
        <v>2.5054539666216531</v>
      </c>
      <c r="J33" s="90">
        <f>+J30/J32</f>
        <v>2.5420603593840401</v>
      </c>
      <c r="K33" s="90">
        <f>+K30/K32</f>
        <v>2.5417033149336556</v>
      </c>
      <c r="L33" s="97">
        <f>+L30/L32</f>
        <v>2.5044765805183773</v>
      </c>
      <c r="M33" s="90">
        <f>+M30/L32</f>
        <v>42.993514632232149</v>
      </c>
      <c r="N33" s="53"/>
    </row>
    <row r="34" spans="2:14" x14ac:dyDescent="0.25"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53"/>
    </row>
    <row r="35" spans="2:14" ht="15.6" x14ac:dyDescent="0.3">
      <c r="B35" s="29" t="s">
        <v>19</v>
      </c>
      <c r="C35" s="90">
        <f>+SUM(C33:M33)</f>
        <v>67.025525298786732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53"/>
    </row>
  </sheetData>
  <mergeCells count="2">
    <mergeCell ref="C25:G25"/>
    <mergeCell ref="H25:L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7"/>
  <sheetViews>
    <sheetView showGridLines="0" topLeftCell="A12" workbookViewId="0">
      <selection activeCell="H23" sqref="H23"/>
    </sheetView>
  </sheetViews>
  <sheetFormatPr defaultColWidth="0" defaultRowHeight="15" x14ac:dyDescent="0.25"/>
  <cols>
    <col min="1" max="1" width="10.6640625" style="2" customWidth="1"/>
    <col min="2" max="2" width="28.5546875" style="1" customWidth="1"/>
    <col min="3" max="13" width="16.109375" style="2" customWidth="1"/>
    <col min="14" max="14" width="10.6640625" style="2" customWidth="1"/>
    <col min="15" max="17" width="0" style="2" hidden="1" customWidth="1"/>
    <col min="18" max="16384" width="10.6640625" style="2" hidden="1"/>
  </cols>
  <sheetData>
    <row r="1" spans="2:13" x14ac:dyDescent="0.25">
      <c r="B1" s="2"/>
    </row>
    <row r="2" spans="2:13" ht="15.6" x14ac:dyDescent="0.25">
      <c r="B2" s="3" t="str">
        <f ca="1">MID(CELL("filename",A1),FIND("]",CELL("filename",A1))+1,255)</f>
        <v>6.4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x14ac:dyDescent="0.25">
      <c r="B3" s="21"/>
      <c r="C3" s="22"/>
      <c r="D3" s="22"/>
    </row>
    <row r="4" spans="2:13" x14ac:dyDescent="0.25">
      <c r="B4" s="7" t="s">
        <v>2</v>
      </c>
      <c r="C4" s="56">
        <v>5.0200000000000002E-2</v>
      </c>
    </row>
    <row r="5" spans="2:13" x14ac:dyDescent="0.25">
      <c r="B5" s="7" t="s">
        <v>3</v>
      </c>
      <c r="C5" s="56">
        <v>0.04</v>
      </c>
    </row>
    <row r="6" spans="2:13" x14ac:dyDescent="0.25">
      <c r="B6" s="7" t="s">
        <v>5</v>
      </c>
      <c r="C6" s="50">
        <v>1.6</v>
      </c>
    </row>
    <row r="7" spans="2:13" x14ac:dyDescent="0.25">
      <c r="B7" s="7" t="s">
        <v>6</v>
      </c>
      <c r="C7" s="50">
        <v>0.6</v>
      </c>
    </row>
    <row r="8" spans="2:13" x14ac:dyDescent="0.25">
      <c r="B8" s="7"/>
      <c r="C8" s="18"/>
    </row>
    <row r="9" spans="2:13" x14ac:dyDescent="0.25">
      <c r="B9" s="7"/>
      <c r="C9" s="26" t="s">
        <v>26</v>
      </c>
      <c r="D9" s="26" t="s">
        <v>27</v>
      </c>
    </row>
    <row r="10" spans="2:13" x14ac:dyDescent="0.25">
      <c r="B10" s="7" t="s">
        <v>10</v>
      </c>
      <c r="C10" s="51">
        <v>0.15559999999999999</v>
      </c>
      <c r="D10" s="51">
        <v>0.15</v>
      </c>
    </row>
    <row r="11" spans="2:13" x14ac:dyDescent="0.25">
      <c r="B11" s="7" t="s">
        <v>29</v>
      </c>
      <c r="C11" s="25">
        <f>1-C12</f>
        <v>0.375</v>
      </c>
      <c r="D11" s="25">
        <f>1-D12</f>
        <v>0.66666666666666663</v>
      </c>
    </row>
    <row r="12" spans="2:13" x14ac:dyDescent="0.25">
      <c r="B12" s="7" t="s">
        <v>28</v>
      </c>
      <c r="C12" s="56">
        <v>0.625</v>
      </c>
      <c r="D12" s="57">
        <f>+D13/D10</f>
        <v>0.33333333333333337</v>
      </c>
    </row>
    <row r="13" spans="2:13" x14ac:dyDescent="0.25">
      <c r="B13" s="7" t="s">
        <v>30</v>
      </c>
      <c r="C13" s="57">
        <f>+C12*C10</f>
        <v>9.7249999999999989E-2</v>
      </c>
      <c r="D13" s="56">
        <v>0.05</v>
      </c>
    </row>
    <row r="14" spans="2:13" x14ac:dyDescent="0.25">
      <c r="B14" s="8" t="s">
        <v>1</v>
      </c>
      <c r="C14" s="27">
        <v>0.95</v>
      </c>
      <c r="D14" s="27">
        <v>1</v>
      </c>
    </row>
    <row r="15" spans="2:13" x14ac:dyDescent="0.25">
      <c r="C15" s="9"/>
    </row>
    <row r="16" spans="2:13" s="12" customFormat="1" ht="15.6" x14ac:dyDescent="0.25">
      <c r="B16" s="10" t="s">
        <v>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2:13" s="15" customFormat="1" x14ac:dyDescent="0.25">
      <c r="B17" s="13"/>
      <c r="C17" s="14"/>
    </row>
    <row r="18" spans="2:13" s="15" customFormat="1" x14ac:dyDescent="0.25">
      <c r="B18" s="13"/>
      <c r="C18" s="26" t="s">
        <v>26</v>
      </c>
      <c r="D18" s="26" t="s">
        <v>27</v>
      </c>
    </row>
    <row r="19" spans="2:13" s="15" customFormat="1" ht="15.6" x14ac:dyDescent="0.3">
      <c r="B19" s="32" t="s">
        <v>4</v>
      </c>
      <c r="C19" s="58">
        <f>+C4+C5*C14</f>
        <v>8.8200000000000001E-2</v>
      </c>
      <c r="D19" s="58">
        <f>+C4+C5*D14</f>
        <v>9.0200000000000002E-2</v>
      </c>
    </row>
    <row r="20" spans="2:13" s="15" customFormat="1" x14ac:dyDescent="0.25">
      <c r="B20" s="13"/>
      <c r="C20" s="14"/>
    </row>
    <row r="21" spans="2:13" s="15" customFormat="1" x14ac:dyDescent="0.25">
      <c r="B21" s="13"/>
      <c r="C21" s="14"/>
    </row>
    <row r="22" spans="2:13" x14ac:dyDescent="0.25">
      <c r="C22" s="31">
        <v>1</v>
      </c>
      <c r="D22" s="2">
        <f>+C22+1</f>
        <v>2</v>
      </c>
      <c r="E22" s="2">
        <f t="shared" ref="E22:G22" si="0">+D22+1</f>
        <v>3</v>
      </c>
      <c r="F22" s="2">
        <f t="shared" si="0"/>
        <v>4</v>
      </c>
      <c r="G22" s="2">
        <f t="shared" si="0"/>
        <v>5</v>
      </c>
    </row>
    <row r="23" spans="2:13" x14ac:dyDescent="0.25">
      <c r="B23" s="20" t="s">
        <v>5</v>
      </c>
      <c r="C23" s="83">
        <f>+C6*(1+C13)</f>
        <v>1.7556000000000003</v>
      </c>
      <c r="D23" s="83">
        <f>+C23*(1+$C$13)</f>
        <v>1.9263321000000004</v>
      </c>
      <c r="E23" s="83">
        <f>+D23*(1+$C$13)</f>
        <v>2.1136678967250004</v>
      </c>
      <c r="F23" s="83">
        <f>+E23*(1+$C$13)</f>
        <v>2.3192220996815069</v>
      </c>
      <c r="G23" s="83">
        <f>+F23*(1+$C$13)</f>
        <v>2.5447664488755337</v>
      </c>
      <c r="H23" s="83">
        <f>+(G23*(1+D13))</f>
        <v>2.6720047713193105</v>
      </c>
      <c r="I23" s="19"/>
      <c r="J23" s="19"/>
      <c r="K23" s="19"/>
      <c r="L23" s="19"/>
      <c r="M23" s="19"/>
    </row>
    <row r="24" spans="2:13" x14ac:dyDescent="0.25">
      <c r="B24" s="28" t="s">
        <v>6</v>
      </c>
      <c r="C24" s="89">
        <f>+C23*$C$11</f>
        <v>0.6583500000000001</v>
      </c>
      <c r="D24" s="89">
        <f>+D23*$C$11</f>
        <v>0.72237453750000014</v>
      </c>
      <c r="E24" s="89">
        <f>+E23*$C$11</f>
        <v>0.79262546127187516</v>
      </c>
      <c r="F24" s="89">
        <f t="shared" ref="F24" si="1">+F23*$C$11</f>
        <v>0.86970828738056505</v>
      </c>
      <c r="G24" s="89">
        <f>+G23*$C$11</f>
        <v>0.9542874183283252</v>
      </c>
      <c r="H24" s="89">
        <f>+H23*$D$11</f>
        <v>1.7813365142128736</v>
      </c>
      <c r="I24" s="19"/>
      <c r="J24" s="19"/>
      <c r="K24" s="19"/>
      <c r="L24" s="19"/>
      <c r="M24" s="19"/>
    </row>
    <row r="25" spans="2:13" ht="15.6" x14ac:dyDescent="0.3">
      <c r="B25" s="29" t="s">
        <v>32</v>
      </c>
      <c r="C25" s="90">
        <f>+C24/(1+$C$19)^C22</f>
        <v>0.60498989156405081</v>
      </c>
      <c r="D25" s="90">
        <f t="shared" ref="D25:G25" si="2">+D24/(1+$C$19)^D22</f>
        <v>0.61002128149113644</v>
      </c>
      <c r="E25" s="90">
        <f t="shared" si="2"/>
        <v>0.61509451490180989</v>
      </c>
      <c r="F25" s="90">
        <f t="shared" si="2"/>
        <v>0.62020993978681382</v>
      </c>
      <c r="G25" s="90">
        <f t="shared" si="2"/>
        <v>0.62536790703095169</v>
      </c>
      <c r="H25" s="90">
        <f>+H24/(D19-D13)*1/(1+C19)^G22</f>
        <v>29.03864244919842</v>
      </c>
      <c r="I25" s="19"/>
      <c r="J25" s="19"/>
      <c r="K25" s="19"/>
      <c r="L25" s="19"/>
      <c r="M25" s="19"/>
    </row>
    <row r="27" spans="2:13" ht="15.6" x14ac:dyDescent="0.3">
      <c r="B27" s="29" t="s">
        <v>19</v>
      </c>
      <c r="C27" s="90">
        <f>+SUM(C25:H25)</f>
        <v>32.114325983973181</v>
      </c>
      <c r="D27" s="16" t="s">
        <v>31</v>
      </c>
    </row>
    <row r="30" spans="2:13" x14ac:dyDescent="0.25">
      <c r="B30" s="48" t="s">
        <v>43</v>
      </c>
      <c r="C30" s="59">
        <f>+D13</f>
        <v>0.05</v>
      </c>
    </row>
    <row r="31" spans="2:13" x14ac:dyDescent="0.25">
      <c r="B31" s="48" t="s">
        <v>14</v>
      </c>
      <c r="C31" s="59">
        <f>+D11</f>
        <v>0.66666666666666663</v>
      </c>
    </row>
    <row r="32" spans="2:13" x14ac:dyDescent="0.25">
      <c r="B32" s="48" t="s">
        <v>15</v>
      </c>
      <c r="C32" s="59">
        <f>+D19</f>
        <v>9.0200000000000002E-2</v>
      </c>
    </row>
    <row r="33" spans="2:5" x14ac:dyDescent="0.25">
      <c r="B33" s="48"/>
      <c r="C33" s="47"/>
    </row>
    <row r="34" spans="2:5" ht="15.6" x14ac:dyDescent="0.3">
      <c r="B34" s="49" t="s">
        <v>44</v>
      </c>
      <c r="C34" s="91">
        <f>+(C6*(1+C30)*C31)/(C32-C30)</f>
        <v>27.86069651741294</v>
      </c>
      <c r="D34" s="16"/>
      <c r="E34" s="19"/>
    </row>
    <row r="35" spans="2:5" x14ac:dyDescent="0.25">
      <c r="B35" s="48"/>
      <c r="C35" s="60" t="s">
        <v>46</v>
      </c>
    </row>
    <row r="36" spans="2:5" ht="15.6" x14ac:dyDescent="0.3">
      <c r="B36" s="46" t="s">
        <v>45</v>
      </c>
      <c r="C36" s="92">
        <f>+C27-C34</f>
        <v>4.2536294665602412</v>
      </c>
    </row>
    <row r="38" spans="2:5" x14ac:dyDescent="0.25">
      <c r="C38" s="19"/>
    </row>
    <row r="39" spans="2:5" x14ac:dyDescent="0.25">
      <c r="B39" s="1" t="s">
        <v>7</v>
      </c>
      <c r="C39" s="61">
        <v>0</v>
      </c>
    </row>
    <row r="40" spans="2:5" x14ac:dyDescent="0.25">
      <c r="B40" s="1" t="s">
        <v>15</v>
      </c>
      <c r="C40" s="54">
        <f>+D19</f>
        <v>9.0200000000000002E-2</v>
      </c>
    </row>
    <row r="41" spans="2:5" x14ac:dyDescent="0.25">
      <c r="B41" s="1" t="s">
        <v>14</v>
      </c>
      <c r="C41" s="61">
        <v>1</v>
      </c>
    </row>
    <row r="43" spans="2:5" ht="15.6" x14ac:dyDescent="0.3">
      <c r="B43" s="44" t="s">
        <v>44</v>
      </c>
      <c r="C43" s="93">
        <f>+(C6*(1+C39)*C41)/(C40-C39)</f>
        <v>17.738359201773836</v>
      </c>
      <c r="D43" s="45" t="s">
        <v>48</v>
      </c>
    </row>
    <row r="44" spans="2:5" x14ac:dyDescent="0.25">
      <c r="C44" s="83"/>
    </row>
    <row r="45" spans="2:5" ht="15.6" x14ac:dyDescent="0.3">
      <c r="B45" s="43" t="s">
        <v>47</v>
      </c>
      <c r="C45" s="94">
        <f>+C34-C43</f>
        <v>10.122337315639104</v>
      </c>
    </row>
    <row r="46" spans="2:5" x14ac:dyDescent="0.25">
      <c r="C46" s="83"/>
    </row>
    <row r="47" spans="2:5" ht="15.6" x14ac:dyDescent="0.3">
      <c r="B47" s="33" t="s">
        <v>49</v>
      </c>
      <c r="C47" s="90">
        <f>+C43+C45+C36</f>
        <v>32.114325983973181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showGridLines="0" topLeftCell="A2" workbookViewId="0">
      <selection activeCell="D25" sqref="D25"/>
    </sheetView>
  </sheetViews>
  <sheetFormatPr defaultColWidth="0" defaultRowHeight="15" x14ac:dyDescent="0.25"/>
  <cols>
    <col min="1" max="1" width="10.6640625" style="2" customWidth="1"/>
    <col min="2" max="2" width="27.33203125" style="1" bestFit="1" customWidth="1"/>
    <col min="3" max="9" width="16.109375" style="2" customWidth="1"/>
    <col min="10" max="17" width="0" style="2" hidden="1" customWidth="1"/>
    <col min="18" max="16384" width="10.6640625" style="2" hidden="1"/>
  </cols>
  <sheetData>
    <row r="1" spans="2:9" x14ac:dyDescent="0.25">
      <c r="B1" s="2"/>
    </row>
    <row r="2" spans="2:9" ht="15.6" x14ac:dyDescent="0.25">
      <c r="B2" s="3" t="str">
        <f ca="1">MID(CELL("filename",A1),FIND("]",CELL("filename",A1))+1,255)</f>
        <v>6.5</v>
      </c>
      <c r="C2" s="4"/>
      <c r="D2" s="4"/>
      <c r="E2" s="4"/>
      <c r="F2" s="4"/>
      <c r="G2" s="4"/>
      <c r="H2" s="4"/>
      <c r="I2" s="4"/>
    </row>
    <row r="3" spans="2:9" x14ac:dyDescent="0.25">
      <c r="B3" s="21"/>
      <c r="C3" s="22"/>
    </row>
    <row r="4" spans="2:9" x14ac:dyDescent="0.25">
      <c r="B4" s="7" t="s">
        <v>20</v>
      </c>
      <c r="C4" s="50">
        <v>1257.6400000000001</v>
      </c>
    </row>
    <row r="5" spans="2:9" x14ac:dyDescent="0.25">
      <c r="B5" s="7" t="s">
        <v>6</v>
      </c>
      <c r="C5" s="50">
        <v>23.12</v>
      </c>
    </row>
    <row r="6" spans="2:9" x14ac:dyDescent="0.25">
      <c r="B6" s="7" t="s">
        <v>25</v>
      </c>
      <c r="C6" s="50">
        <v>30.84</v>
      </c>
    </row>
    <row r="7" spans="2:9" x14ac:dyDescent="0.25">
      <c r="B7" s="7" t="s">
        <v>63</v>
      </c>
      <c r="C7" s="51">
        <v>6.9500000000000006E-2</v>
      </c>
    </row>
    <row r="8" spans="2:9" x14ac:dyDescent="0.25">
      <c r="B8" s="7" t="s">
        <v>21</v>
      </c>
      <c r="C8" s="51">
        <v>3.2899999999999999E-2</v>
      </c>
    </row>
    <row r="9" spans="2:9" x14ac:dyDescent="0.25">
      <c r="B9" s="8" t="s">
        <v>15</v>
      </c>
      <c r="C9" s="52">
        <v>8.5000000000000006E-2</v>
      </c>
    </row>
    <row r="10" spans="2:9" x14ac:dyDescent="0.25">
      <c r="C10" s="9"/>
    </row>
    <row r="11" spans="2:9" s="12" customFormat="1" ht="15.6" x14ac:dyDescent="0.25">
      <c r="B11" s="10" t="s">
        <v>0</v>
      </c>
      <c r="C11" s="11"/>
      <c r="D11" s="11"/>
      <c r="E11" s="11"/>
      <c r="F11" s="11"/>
      <c r="G11" s="11"/>
      <c r="H11" s="11"/>
      <c r="I11" s="11"/>
    </row>
    <row r="12" spans="2:9" s="15" customFormat="1" x14ac:dyDescent="0.25">
      <c r="B12" s="13"/>
      <c r="C12" s="14"/>
    </row>
    <row r="13" spans="2:9" x14ac:dyDescent="0.25">
      <c r="C13" s="31">
        <v>1</v>
      </c>
      <c r="D13" s="2">
        <f>+C13+1</f>
        <v>2</v>
      </c>
      <c r="E13" s="2">
        <f t="shared" ref="E13:G13" si="0">+D13+1</f>
        <v>3</v>
      </c>
      <c r="F13" s="2">
        <f t="shared" si="0"/>
        <v>4</v>
      </c>
      <c r="G13" s="2">
        <f t="shared" si="0"/>
        <v>5</v>
      </c>
    </row>
    <row r="14" spans="2:9" x14ac:dyDescent="0.25">
      <c r="B14" s="20" t="s">
        <v>6</v>
      </c>
      <c r="C14" s="84">
        <f>+C5*(1+$C$7)</f>
        <v>24.726840000000003</v>
      </c>
      <c r="D14" s="84">
        <f>+C14*(1+$C$7)</f>
        <v>26.445355380000006</v>
      </c>
      <c r="E14" s="84">
        <f t="shared" ref="E14:G14" si="1">+D14*(1+$C$7)</f>
        <v>28.283307578910009</v>
      </c>
      <c r="F14" s="84">
        <f t="shared" si="1"/>
        <v>30.248997455644258</v>
      </c>
      <c r="G14" s="84">
        <f t="shared" si="1"/>
        <v>32.351302778811537</v>
      </c>
      <c r="H14" s="84">
        <f>+G14*(1+C8)/(C9-C8)</f>
        <v>641.37544415037291</v>
      </c>
      <c r="I14" s="19"/>
    </row>
    <row r="15" spans="2:9" x14ac:dyDescent="0.25">
      <c r="B15" s="20" t="s">
        <v>15</v>
      </c>
      <c r="C15" s="71">
        <f>+C9</f>
        <v>8.5000000000000006E-2</v>
      </c>
      <c r="D15" s="71">
        <f>+C15</f>
        <v>8.5000000000000006E-2</v>
      </c>
      <c r="E15" s="71">
        <f t="shared" ref="E15:G15" si="2">+D15</f>
        <v>8.5000000000000006E-2</v>
      </c>
      <c r="F15" s="71">
        <f t="shared" si="2"/>
        <v>8.5000000000000006E-2</v>
      </c>
      <c r="G15" s="71">
        <f t="shared" si="2"/>
        <v>8.5000000000000006E-2</v>
      </c>
      <c r="H15" s="86"/>
      <c r="I15" s="24"/>
    </row>
    <row r="16" spans="2:9" ht="15.6" x14ac:dyDescent="0.3">
      <c r="B16" s="29" t="s">
        <v>32</v>
      </c>
      <c r="C16" s="88">
        <f>C14/(1+C15)^C13</f>
        <v>22.78971428571429</v>
      </c>
      <c r="D16" s="88">
        <f t="shared" ref="D16:G16" si="3">D14/(1+D15)^D13</f>
        <v>22.464146938775517</v>
      </c>
      <c r="E16" s="88">
        <f t="shared" si="3"/>
        <v>22.143230553935865</v>
      </c>
      <c r="F16" s="88">
        <f t="shared" si="3"/>
        <v>21.826898688879645</v>
      </c>
      <c r="G16" s="88">
        <f t="shared" si="3"/>
        <v>21.515085850467081</v>
      </c>
      <c r="H16" s="88">
        <f>+H14/(1+G15)^G13</f>
        <v>426.54380374179357</v>
      </c>
      <c r="I16" s="53"/>
    </row>
    <row r="18" spans="2:9" ht="15.6" x14ac:dyDescent="0.3">
      <c r="B18" s="29" t="s">
        <v>19</v>
      </c>
      <c r="C18" s="87">
        <f>+SUM(C16:H16)</f>
        <v>537.28288005956597</v>
      </c>
      <c r="D18" s="16" t="s">
        <v>23</v>
      </c>
    </row>
    <row r="21" spans="2:9" x14ac:dyDescent="0.25">
      <c r="C21" s="31">
        <v>1</v>
      </c>
      <c r="D21" s="2">
        <f>+C21+1</f>
        <v>2</v>
      </c>
      <c r="E21" s="2">
        <f t="shared" ref="E21" si="4">+D21+1</f>
        <v>3</v>
      </c>
      <c r="F21" s="2">
        <f t="shared" ref="F21" si="5">+E21+1</f>
        <v>4</v>
      </c>
      <c r="G21" s="2">
        <f t="shared" ref="G21" si="6">+F21+1</f>
        <v>5</v>
      </c>
    </row>
    <row r="22" spans="2:9" x14ac:dyDescent="0.25">
      <c r="B22" s="20" t="s">
        <v>22</v>
      </c>
      <c r="C22" s="84">
        <f>+(C5+C6)*(1+C7)</f>
        <v>57.710220000000007</v>
      </c>
      <c r="D22" s="84">
        <f>+C22*(1+$C$7)</f>
        <v>61.721080290000017</v>
      </c>
      <c r="E22" s="84">
        <f t="shared" ref="E22:G22" si="7">+D22*(1+$C$7)</f>
        <v>66.01069537015502</v>
      </c>
      <c r="F22" s="84">
        <f t="shared" si="7"/>
        <v>70.598438698380804</v>
      </c>
      <c r="G22" s="84">
        <f t="shared" si="7"/>
        <v>75.50503018791828</v>
      </c>
      <c r="H22" s="84">
        <f>+G22*(1+C8)/(C9-C8)</f>
        <v>1496.9125850499188</v>
      </c>
    </row>
    <row r="23" spans="2:9" x14ac:dyDescent="0.25">
      <c r="B23" s="20" t="s">
        <v>15</v>
      </c>
      <c r="C23" s="71">
        <f>+C15</f>
        <v>8.5000000000000006E-2</v>
      </c>
      <c r="D23" s="71">
        <f t="shared" ref="D23:G23" si="8">+D15</f>
        <v>8.5000000000000006E-2</v>
      </c>
      <c r="E23" s="71">
        <f t="shared" si="8"/>
        <v>8.5000000000000006E-2</v>
      </c>
      <c r="F23" s="71">
        <f t="shared" si="8"/>
        <v>8.5000000000000006E-2</v>
      </c>
      <c r="G23" s="71">
        <f t="shared" si="8"/>
        <v>8.5000000000000006E-2</v>
      </c>
      <c r="H23" s="86"/>
    </row>
    <row r="24" spans="2:9" ht="15.6" x14ac:dyDescent="0.3">
      <c r="B24" s="29" t="s">
        <v>32</v>
      </c>
      <c r="C24" s="88">
        <f>C22/(1+C23)^C21</f>
        <v>53.189142857142862</v>
      </c>
      <c r="D24" s="88">
        <f t="shared" ref="D24:G24" si="9">D22/(1+D23)^D21</f>
        <v>52.429297959183693</v>
      </c>
      <c r="E24" s="88">
        <f t="shared" si="9"/>
        <v>51.680307988338207</v>
      </c>
      <c r="F24" s="88">
        <f t="shared" si="9"/>
        <v>50.942017874219104</v>
      </c>
      <c r="G24" s="88">
        <f t="shared" si="9"/>
        <v>50.214274761730266</v>
      </c>
      <c r="H24" s="88">
        <f>+H22/(1+G23)^G21</f>
        <v>995.5148637503105</v>
      </c>
      <c r="I24" s="53"/>
    </row>
    <row r="26" spans="2:9" ht="15.6" x14ac:dyDescent="0.3">
      <c r="B26" s="29" t="s">
        <v>19</v>
      </c>
      <c r="C26" s="87">
        <f>+SUM(C24:H24)</f>
        <v>1253.9699051909247</v>
      </c>
      <c r="D26" s="16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Ex_1</vt:lpstr>
      <vt:lpstr>Ex_2</vt:lpstr>
      <vt:lpstr>6.1</vt:lpstr>
      <vt:lpstr>6.2-3</vt:lpstr>
      <vt:lpstr>6.4</vt:lpstr>
      <vt:lpstr>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</dc:creator>
  <cp:lastModifiedBy>SGA</cp:lastModifiedBy>
  <dcterms:created xsi:type="dcterms:W3CDTF">2020-07-04T16:26:37Z</dcterms:created>
  <dcterms:modified xsi:type="dcterms:W3CDTF">2026-10-12T09:56:01Z</dcterms:modified>
</cp:coreProperties>
</file>