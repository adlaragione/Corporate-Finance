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cconi-my.sharepoint.com/personal/stefano_rossi_unibocconi_it/Documents/20127/Lecture Slides 2026-2027 and Materials/"/>
    </mc:Choice>
  </mc:AlternateContent>
  <xr:revisionPtr revIDLastSave="195" documentId="13_ncr:1_{B1F5EA81-260F-4E95-B2E8-4CDD83032204}" xr6:coauthVersionLast="47" xr6:coauthVersionMax="47" xr10:uidLastSave="{4D60E5B1-8B68-4E9D-A208-978CE7508512}"/>
  <bookViews>
    <workbookView xWindow="28680" yWindow="-120" windowWidth="29040" windowHeight="15720" activeTab="4" xr2:uid="{E9B2F671-A5F3-49ED-A5DC-675E5979D18B}"/>
  </bookViews>
  <sheets>
    <sheet name="Relevering" sheetId="7" r:id="rId1"/>
    <sheet name="Telesp" sheetId="5" r:id="rId2"/>
    <sheet name="NoGrowth" sheetId="6" r:id="rId3"/>
    <sheet name="Daimler-Chrysler" sheetId="4" r:id="rId4"/>
    <sheet name="J Crew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7" l="1"/>
  <c r="B17" i="7"/>
  <c r="B13" i="7"/>
  <c r="B12" i="7"/>
  <c r="B42" i="1"/>
  <c r="B40" i="1"/>
  <c r="B21" i="1"/>
  <c r="B22" i="1" s="1"/>
  <c r="B23" i="1" s="1"/>
  <c r="B19" i="1"/>
  <c r="B25" i="6"/>
  <c r="B24" i="6"/>
  <c r="B21" i="6"/>
  <c r="B17" i="6"/>
  <c r="B12" i="6"/>
  <c r="B11" i="6"/>
  <c r="B32" i="5"/>
  <c r="B31" i="5"/>
  <c r="B33" i="5" s="1"/>
  <c r="B24" i="5"/>
  <c r="B20" i="5"/>
  <c r="B23" i="5" s="1"/>
  <c r="B19" i="5"/>
  <c r="B27" i="4"/>
  <c r="B26" i="6" l="1"/>
  <c r="B27" i="6" s="1"/>
  <c r="B28" i="6" s="1"/>
  <c r="B30" i="6" s="1"/>
  <c r="B13" i="6"/>
  <c r="B14" i="6" s="1"/>
  <c r="B15" i="6" s="1"/>
  <c r="B18" i="6" s="1"/>
  <c r="B20" i="6" s="1"/>
  <c r="B22" i="6" s="1"/>
  <c r="B25" i="5"/>
  <c r="B28" i="5" s="1"/>
  <c r="B21" i="5"/>
  <c r="B27" i="5" s="1"/>
  <c r="B35" i="5"/>
  <c r="B36" i="5"/>
  <c r="B29" i="5" l="1"/>
  <c r="B37" i="5"/>
  <c r="B39" i="5" s="1"/>
  <c r="B41" i="5" s="1"/>
  <c r="B26" i="4" l="1"/>
  <c r="B16" i="4"/>
  <c r="B23" i="4" l="1"/>
  <c r="B18" i="4"/>
  <c r="B17" i="4"/>
  <c r="B20" i="4" s="1"/>
  <c r="B19" i="4" l="1"/>
  <c r="B21" i="4" l="1"/>
  <c r="B22" i="4"/>
  <c r="B24" i="4" s="1"/>
  <c r="B28" i="4" s="1"/>
  <c r="C28" i="1"/>
  <c r="D28" i="1" s="1"/>
  <c r="E28" i="1" s="1"/>
  <c r="C29" i="1"/>
  <c r="D29" i="1" s="1"/>
  <c r="E29" i="1" s="1"/>
  <c r="C30" i="1"/>
  <c r="D30" i="1" s="1"/>
  <c r="E30" i="1" s="1"/>
  <c r="C31" i="1"/>
  <c r="D31" i="1" s="1"/>
  <c r="E31" i="1" s="1"/>
  <c r="C32" i="1"/>
  <c r="D32" i="1" s="1"/>
  <c r="E32" i="1" s="1"/>
  <c r="C33" i="1"/>
  <c r="D33" i="1" s="1"/>
  <c r="E33" i="1" s="1"/>
  <c r="C34" i="1"/>
  <c r="D34" i="1" s="1"/>
  <c r="E34" i="1" s="1"/>
  <c r="C35" i="1"/>
  <c r="D35" i="1" s="1"/>
  <c r="E35" i="1" s="1"/>
  <c r="C36" i="1"/>
  <c r="D36" i="1" s="1"/>
  <c r="E36" i="1" s="1"/>
  <c r="C37" i="1"/>
  <c r="D37" i="1" s="1"/>
  <c r="E37" i="1" s="1"/>
  <c r="C27" i="1"/>
  <c r="D27" i="1" s="1"/>
  <c r="E27" i="1" s="1"/>
  <c r="E39" i="1" l="1"/>
</calcChain>
</file>

<file path=xl/sharedStrings.xml><?xml version="1.0" encoding="utf-8"?>
<sst xmlns="http://schemas.openxmlformats.org/spreadsheetml/2006/main" count="122" uniqueCount="93">
  <si>
    <t>Perpetuity</t>
  </si>
  <si>
    <t>interest 7%</t>
  </si>
  <si>
    <t>Tax shield</t>
  </si>
  <si>
    <t>PV @ 7%</t>
  </si>
  <si>
    <t>Debt Schedule</t>
  </si>
  <si>
    <t>AAA</t>
  </si>
  <si>
    <t>Bankruptcy Costs</t>
  </si>
  <si>
    <t>Tax rate</t>
  </si>
  <si>
    <t>ERP</t>
  </si>
  <si>
    <t>Market Value of Equity</t>
  </si>
  <si>
    <t>Market Value of Debt</t>
  </si>
  <si>
    <t>Year</t>
  </si>
  <si>
    <t>Values</t>
  </si>
  <si>
    <t xml:space="preserve">Inputs (figures in DM miln) </t>
  </si>
  <si>
    <t xml:space="preserve">EBIT (operating income) </t>
  </si>
  <si>
    <t>Effective tax rate</t>
  </si>
  <si>
    <t xml:space="preserve">ROC (after tax) </t>
  </si>
  <si>
    <t xml:space="preserve">Equity (market value) </t>
  </si>
  <si>
    <t xml:space="preserve">Debt (market value) </t>
  </si>
  <si>
    <t>Cash &amp; marketable securities</t>
  </si>
  <si>
    <t>Bottom up unlevered β for industry</t>
  </si>
  <si>
    <t xml:space="preserve">Daimler rating </t>
  </si>
  <si>
    <t>Long-term German Bond rate (in DM)</t>
  </si>
  <si>
    <t xml:space="preserve">Default spread </t>
  </si>
  <si>
    <t xml:space="preserve">ERP </t>
  </si>
  <si>
    <t xml:space="preserve">Long-term growth rate </t>
  </si>
  <si>
    <t>D - Cash</t>
  </si>
  <si>
    <t>(D - Cash) / E</t>
  </si>
  <si>
    <t>(D - Cash + E)</t>
  </si>
  <si>
    <t>(D - Cash) / (D - Cash + E)</t>
  </si>
  <si>
    <r>
      <t>k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= r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+ β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x ERP = </t>
    </r>
  </si>
  <si>
    <r>
      <t>k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 r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+ Default Spread = </t>
    </r>
  </si>
  <si>
    <r>
      <t>WACC = k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x E/(D+E) + k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x (1 - τ) x D/(D+E) = </t>
    </r>
  </si>
  <si>
    <t>β levered</t>
  </si>
  <si>
    <t>FCFO =EBITx(1–τ) x[1– Reinvestment Rate] x [1+g]=</t>
  </si>
  <si>
    <t>Reinvestment Rate = g / ROC</t>
  </si>
  <si>
    <t>Enterprise Value = FCFO / (WACC - g)</t>
  </si>
  <si>
    <t>Equity Value = Enterprise Value - (Debt - Cash)</t>
  </si>
  <si>
    <t>EBIT</t>
  </si>
  <si>
    <t>CAPEX</t>
  </si>
  <si>
    <t>D&amp;A</t>
  </si>
  <si>
    <t>Change in non-cash WC</t>
  </si>
  <si>
    <t>BV of Equity</t>
  </si>
  <si>
    <t>BV of Debt</t>
  </si>
  <si>
    <t>Cash</t>
  </si>
  <si>
    <t>Market Value of Net Debt</t>
  </si>
  <si>
    <t>Risk-free</t>
  </si>
  <si>
    <t>Beta</t>
  </si>
  <si>
    <t>Kd (pre-tax)</t>
  </si>
  <si>
    <t>Reinvestment =</t>
  </si>
  <si>
    <t>NOPAT =</t>
  </si>
  <si>
    <t>Reinvestment Rate =</t>
  </si>
  <si>
    <t>Invested Capital =</t>
  </si>
  <si>
    <t>ROC =</t>
  </si>
  <si>
    <t>g =</t>
  </si>
  <si>
    <t>Ke =</t>
  </si>
  <si>
    <t>D/EV =</t>
  </si>
  <si>
    <t>WACC =</t>
  </si>
  <si>
    <t>FCFO =</t>
  </si>
  <si>
    <t>EV =</t>
  </si>
  <si>
    <t>Inputs</t>
  </si>
  <si>
    <t>Equity Value =</t>
  </si>
  <si>
    <t>Ke</t>
  </si>
  <si>
    <t>Debt =</t>
  </si>
  <si>
    <t>Equity =</t>
  </si>
  <si>
    <t>DEBT =</t>
  </si>
  <si>
    <t>EBIT =</t>
  </si>
  <si>
    <t>Interest costs =</t>
  </si>
  <si>
    <t>EBT =</t>
  </si>
  <si>
    <t>Taxes =</t>
  </si>
  <si>
    <t>Net Income =</t>
  </si>
  <si>
    <t>Price</t>
  </si>
  <si>
    <t>o/w Debt</t>
  </si>
  <si>
    <t>Beta Unlevered</t>
  </si>
  <si>
    <t>g</t>
  </si>
  <si>
    <t>Revenues</t>
  </si>
  <si>
    <t>ROC</t>
  </si>
  <si>
    <t>Probability of default</t>
  </si>
  <si>
    <t>K Unlevered =</t>
  </si>
  <si>
    <t>FCFO</t>
  </si>
  <si>
    <t>Unlevered Value =</t>
  </si>
  <si>
    <t>PV Tax Benefits =</t>
  </si>
  <si>
    <t>Bankruptcy Costs =</t>
  </si>
  <si>
    <t>Levered Value =</t>
  </si>
  <si>
    <t>Interest Rate on $-denominated T-Bonds</t>
  </si>
  <si>
    <t>Shareholders’ Equity</t>
  </si>
  <si>
    <t xml:space="preserve">Equity Risk Premium (ERP) on US market </t>
  </si>
  <si>
    <t>Net Debt</t>
  </si>
  <si>
    <t xml:space="preserve">Unlevered Beta for Food &amp; Beverage sector </t>
  </si>
  <si>
    <t>Tax Rate</t>
  </si>
  <si>
    <t>Under constant leverage financing policy:</t>
  </si>
  <si>
    <t>Under fixed debt financing policy:</t>
  </si>
  <si>
    <t>Beta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</si>
</sst>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3" formatCode="_(* #,##0.00_);_(* \(#,##0.00\);_(* &quot;-&quot;??_);_(@_)"/>
    <numFmt numFmtId="166" formatCode="0.000"/>
    <numFmt numFmtId="168" formatCode="#,##0.00_)_);\(#,##0.00\)_);\-_)_);@_)_)"/>
    <numFmt numFmtId="170" formatCode="#,##0.0_)_);\(#,##0.0\)_);\-_)_);@_)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0"/>
      <name val="Verdan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</cellStyleXfs>
  <cellXfs count="64">
    <xf numFmtId="0" fontId="0" fillId="0" borderId="0" xfId="0"/>
    <xf numFmtId="2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3" fontId="0" fillId="0" borderId="0" xfId="0" applyNumberFormat="1"/>
    <xf numFmtId="0" fontId="0" fillId="0" borderId="0" xfId="0" applyAlignment="1">
      <alignment horizontal="right"/>
    </xf>
    <xf numFmtId="166" fontId="0" fillId="0" borderId="0" xfId="0" applyNumberFormat="1"/>
    <xf numFmtId="166" fontId="0" fillId="0" borderId="0" xfId="1" applyNumberFormat="1" applyFont="1"/>
    <xf numFmtId="0" fontId="5" fillId="0" borderId="0" xfId="2" applyFont="1" applyAlignment="1">
      <alignment horizontal="left" indent="1"/>
    </xf>
    <xf numFmtId="0" fontId="5" fillId="0" borderId="0" xfId="2" applyFont="1"/>
    <xf numFmtId="0" fontId="5" fillId="0" borderId="0" xfId="2" applyFont="1" applyAlignment="1">
      <alignment wrapText="1"/>
    </xf>
    <xf numFmtId="0" fontId="5" fillId="0" borderId="0" xfId="2" applyFont="1" applyAlignment="1">
      <alignment horizontal="left" wrapText="1" indent="1"/>
    </xf>
    <xf numFmtId="0" fontId="5" fillId="0" borderId="0" xfId="4" applyFont="1" applyAlignment="1">
      <alignment horizontal="left" indent="1"/>
    </xf>
    <xf numFmtId="0" fontId="5" fillId="0" borderId="0" xfId="4" applyFont="1" applyAlignment="1">
      <alignment horizontal="left" wrapText="1" indent="1"/>
    </xf>
    <xf numFmtId="0" fontId="5" fillId="0" borderId="0" xfId="4" applyFont="1"/>
    <xf numFmtId="0" fontId="5" fillId="0" borderId="0" xfId="2" applyFont="1" applyAlignment="1">
      <alignment horizontal="left"/>
    </xf>
    <xf numFmtId="4" fontId="5" fillId="0" borderId="0" xfId="4" applyNumberFormat="1" applyFont="1" applyAlignment="1">
      <alignment horizontal="right" wrapText="1" indent="1"/>
    </xf>
    <xf numFmtId="0" fontId="5" fillId="0" borderId="1" xfId="2" applyFont="1" applyBorder="1" applyAlignment="1">
      <alignment horizontal="left"/>
    </xf>
    <xf numFmtId="4" fontId="5" fillId="0" borderId="1" xfId="4" applyNumberFormat="1" applyFont="1" applyBorder="1" applyAlignment="1">
      <alignment horizontal="right" wrapText="1" indent="1"/>
    </xf>
    <xf numFmtId="0" fontId="6" fillId="0" borderId="0" xfId="2" applyFont="1" applyAlignment="1">
      <alignment horizontal="left"/>
    </xf>
    <xf numFmtId="10" fontId="6" fillId="0" borderId="0" xfId="1" applyNumberFormat="1" applyFont="1" applyFill="1" applyBorder="1" applyAlignment="1"/>
    <xf numFmtId="0" fontId="6" fillId="0" borderId="2" xfId="2" applyFont="1" applyBorder="1" applyAlignment="1">
      <alignment horizontal="left"/>
    </xf>
    <xf numFmtId="10" fontId="6" fillId="0" borderId="2" xfId="1" applyNumberFormat="1" applyFont="1" applyFill="1" applyBorder="1" applyAlignment="1"/>
    <xf numFmtId="10" fontId="5" fillId="0" borderId="0" xfId="1" applyNumberFormat="1" applyFont="1" applyFill="1" applyBorder="1" applyAlignment="1"/>
    <xf numFmtId="10" fontId="5" fillId="0" borderId="1" xfId="1" applyNumberFormat="1" applyFont="1" applyFill="1" applyBorder="1" applyAlignment="1"/>
    <xf numFmtId="10" fontId="6" fillId="0" borderId="0" xfId="1" applyNumberFormat="1" applyFont="1" applyFill="1" applyAlignment="1"/>
    <xf numFmtId="10" fontId="5" fillId="0" borderId="0" xfId="1" applyNumberFormat="1" applyFont="1" applyFill="1" applyAlignment="1"/>
    <xf numFmtId="0" fontId="7" fillId="0" borderId="0" xfId="2" quotePrefix="1" applyFont="1"/>
    <xf numFmtId="4" fontId="5" fillId="0" borderId="0" xfId="2" applyNumberFormat="1" applyFont="1"/>
    <xf numFmtId="4" fontId="5" fillId="0" borderId="1" xfId="2" applyNumberFormat="1" applyFont="1" applyBorder="1"/>
    <xf numFmtId="168" fontId="6" fillId="0" borderId="0" xfId="2" applyNumberFormat="1" applyFont="1" applyAlignment="1">
      <alignment horizontal="right"/>
    </xf>
    <xf numFmtId="168" fontId="6" fillId="0" borderId="0" xfId="2" applyNumberFormat="1" applyFont="1"/>
    <xf numFmtId="168" fontId="5" fillId="0" borderId="0" xfId="2" applyNumberFormat="1" applyFont="1"/>
    <xf numFmtId="0" fontId="5" fillId="0" borderId="0" xfId="2" applyFont="1" applyAlignment="1"/>
    <xf numFmtId="0" fontId="5" fillId="0" borderId="0" xfId="4" applyFont="1" applyAlignment="1"/>
    <xf numFmtId="43" fontId="5" fillId="0" borderId="0" xfId="3" applyFont="1" applyAlignment="1">
      <alignment wrapText="1"/>
    </xf>
    <xf numFmtId="10" fontId="5" fillId="0" borderId="0" xfId="1" applyNumberFormat="1" applyFont="1" applyAlignment="1">
      <alignment wrapText="1"/>
    </xf>
    <xf numFmtId="2" fontId="5" fillId="0" borderId="0" xfId="2" applyNumberFormat="1" applyFont="1" applyAlignment="1">
      <alignment wrapText="1"/>
    </xf>
    <xf numFmtId="0" fontId="6" fillId="0" borderId="0" xfId="2" applyFont="1" applyAlignment="1"/>
    <xf numFmtId="0" fontId="5" fillId="0" borderId="0" xfId="4" applyFont="1" applyAlignment="1">
      <alignment horizontal="left"/>
    </xf>
    <xf numFmtId="168" fontId="5" fillId="0" borderId="0" xfId="4" applyNumberFormat="1" applyFont="1" applyAlignment="1">
      <alignment horizontal="right" wrapText="1" indent="1"/>
    </xf>
    <xf numFmtId="0" fontId="5" fillId="0" borderId="1" xfId="4" applyFont="1" applyBorder="1" applyAlignment="1">
      <alignment horizontal="left"/>
    </xf>
    <xf numFmtId="168" fontId="5" fillId="0" borderId="1" xfId="4" applyNumberFormat="1" applyFont="1" applyBorder="1" applyAlignment="1">
      <alignment horizontal="right" wrapText="1" indent="1"/>
    </xf>
    <xf numFmtId="0" fontId="6" fillId="0" borderId="0" xfId="4" applyFont="1" applyAlignment="1">
      <alignment horizontal="left"/>
    </xf>
    <xf numFmtId="168" fontId="6" fillId="0" borderId="0" xfId="4" applyNumberFormat="1" applyFont="1" applyAlignment="1">
      <alignment horizontal="right" wrapText="1" indent="1"/>
    </xf>
    <xf numFmtId="168" fontId="5" fillId="0" borderId="1" xfId="2" applyNumberFormat="1" applyFont="1" applyBorder="1"/>
    <xf numFmtId="10" fontId="5" fillId="0" borderId="0" xfId="1" applyNumberFormat="1" applyFont="1" applyAlignment="1"/>
    <xf numFmtId="43" fontId="5" fillId="0" borderId="0" xfId="3" applyFont="1" applyAlignment="1"/>
    <xf numFmtId="0" fontId="6" fillId="0" borderId="1" xfId="2" applyFont="1" applyBorder="1" applyAlignment="1">
      <alignment wrapText="1"/>
    </xf>
    <xf numFmtId="0" fontId="5" fillId="0" borderId="1" xfId="2" applyFont="1" applyBorder="1" applyAlignment="1">
      <alignment wrapText="1"/>
    </xf>
    <xf numFmtId="170" fontId="6" fillId="0" borderId="0" xfId="2" applyNumberFormat="1" applyFont="1"/>
    <xf numFmtId="170" fontId="5" fillId="0" borderId="1" xfId="2" applyNumberFormat="1" applyFont="1" applyBorder="1"/>
    <xf numFmtId="170" fontId="5" fillId="0" borderId="0" xfId="2" applyNumberFormat="1" applyFont="1"/>
    <xf numFmtId="43" fontId="0" fillId="0" borderId="0" xfId="3" applyFont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0" fillId="0" borderId="0" xfId="0" applyFont="1"/>
    <xf numFmtId="0" fontId="4" fillId="0" borderId="0" xfId="0" applyFont="1"/>
    <xf numFmtId="0" fontId="6" fillId="0" borderId="0" xfId="2" applyFont="1"/>
    <xf numFmtId="168" fontId="5" fillId="0" borderId="2" xfId="2" applyNumberFormat="1" applyFont="1" applyBorder="1"/>
    <xf numFmtId="0" fontId="6" fillId="0" borderId="0" xfId="2" applyFont="1" applyAlignment="1">
      <alignment horizontal="left" indent="1"/>
    </xf>
    <xf numFmtId="9" fontId="0" fillId="0" borderId="0" xfId="0" applyNumberFormat="1"/>
    <xf numFmtId="6" fontId="0" fillId="0" borderId="0" xfId="0" applyNumberFormat="1"/>
  </cellXfs>
  <cellStyles count="5">
    <cellStyle name="Comma" xfId="3" builtinId="3"/>
    <cellStyle name="Normal" xfId="0" builtinId="0"/>
    <cellStyle name="Normal 3 2" xfId="2" xr:uid="{35EA5072-7572-486A-A5F5-0953583A432A}"/>
    <cellStyle name="Normale 2 2" xfId="4" xr:uid="{6048B4F8-93E9-48A8-9CA4-8AAB55DD5C5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5719-FD5C-4394-99A5-376248635016}">
  <dimension ref="A1:B18"/>
  <sheetViews>
    <sheetView workbookViewId="0">
      <selection activeCell="A9" sqref="A9"/>
    </sheetView>
  </sheetViews>
  <sheetFormatPr defaultRowHeight="15" x14ac:dyDescent="0.25"/>
  <cols>
    <col min="1" max="1" width="39.28515625" customWidth="1"/>
    <col min="2" max="2" width="12.85546875" bestFit="1" customWidth="1"/>
    <col min="3" max="3" width="19.5703125" bestFit="1" customWidth="1"/>
    <col min="4" max="4" width="6.7109375" bestFit="1" customWidth="1"/>
  </cols>
  <sheetData>
    <row r="1" spans="1:2" x14ac:dyDescent="0.25">
      <c r="A1" s="55" t="s">
        <v>60</v>
      </c>
      <c r="B1" s="55"/>
    </row>
    <row r="3" spans="1:2" x14ac:dyDescent="0.25">
      <c r="A3" t="s">
        <v>84</v>
      </c>
      <c r="B3" s="62">
        <v>0.03</v>
      </c>
    </row>
    <row r="4" spans="1:2" x14ac:dyDescent="0.25">
      <c r="A4" t="s">
        <v>86</v>
      </c>
      <c r="B4" s="62">
        <v>0.06</v>
      </c>
    </row>
    <row r="5" spans="1:2" x14ac:dyDescent="0.25">
      <c r="A5" t="s">
        <v>88</v>
      </c>
      <c r="B5">
        <v>0.5</v>
      </c>
    </row>
    <row r="6" spans="1:2" x14ac:dyDescent="0.25">
      <c r="A6" t="s">
        <v>85</v>
      </c>
      <c r="B6" s="63">
        <v>100000000</v>
      </c>
    </row>
    <row r="7" spans="1:2" x14ac:dyDescent="0.25">
      <c r="A7" t="s">
        <v>87</v>
      </c>
      <c r="B7" s="63">
        <v>70000000</v>
      </c>
    </row>
    <row r="8" spans="1:2" x14ac:dyDescent="0.25">
      <c r="A8" t="s">
        <v>89</v>
      </c>
      <c r="B8" s="62">
        <v>0.2</v>
      </c>
    </row>
    <row r="11" spans="1:2" x14ac:dyDescent="0.25">
      <c r="A11" s="58" t="s">
        <v>91</v>
      </c>
    </row>
    <row r="12" spans="1:2" x14ac:dyDescent="0.25">
      <c r="A12" t="s">
        <v>92</v>
      </c>
      <c r="B12">
        <f>B5*(1+(1-B8)*(B7/B6))</f>
        <v>0.78</v>
      </c>
    </row>
    <row r="13" spans="1:2" x14ac:dyDescent="0.25">
      <c r="A13" t="s">
        <v>62</v>
      </c>
      <c r="B13" s="2">
        <f>B3+B12*B4</f>
        <v>7.6800000000000007E-2</v>
      </c>
    </row>
    <row r="16" spans="1:2" x14ac:dyDescent="0.25">
      <c r="A16" s="58" t="s">
        <v>90</v>
      </c>
    </row>
    <row r="17" spans="1:2" x14ac:dyDescent="0.25">
      <c r="A17" t="s">
        <v>92</v>
      </c>
      <c r="B17">
        <f>B5*(1+(B7/B6))</f>
        <v>0.85</v>
      </c>
    </row>
    <row r="18" spans="1:2" x14ac:dyDescent="0.25">
      <c r="A18" t="s">
        <v>62</v>
      </c>
      <c r="B18" s="2">
        <f>B3+B17*B4</f>
        <v>8.0999999999999989E-2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6C10-E9D5-4736-9541-2527072F7ED9}">
  <dimension ref="A1:Q41"/>
  <sheetViews>
    <sheetView workbookViewId="0">
      <selection activeCell="A17" sqref="A17"/>
    </sheetView>
  </sheetViews>
  <sheetFormatPr defaultColWidth="0" defaultRowHeight="15" x14ac:dyDescent="0.25"/>
  <cols>
    <col min="1" max="1" width="28.5703125" style="8" customWidth="1"/>
    <col min="2" max="3" width="16.140625" style="9" customWidth="1"/>
    <col min="4" max="4" width="24" style="33" bestFit="1" customWidth="1"/>
    <col min="5" max="5" width="16.140625" style="10" customWidth="1"/>
    <col min="6" max="7" width="10.7109375" style="10" customWidth="1"/>
    <col min="8" max="13" width="10.7109375" style="9" customWidth="1"/>
    <col min="14" max="17" width="0" style="9" hidden="1"/>
    <col min="18" max="16384" width="10.7109375" style="9" hidden="1"/>
  </cols>
  <sheetData>
    <row r="1" spans="1:5" x14ac:dyDescent="0.25">
      <c r="A1" s="38" t="s">
        <v>60</v>
      </c>
      <c r="B1" s="10"/>
      <c r="C1" s="10"/>
    </row>
    <row r="2" spans="1:5" x14ac:dyDescent="0.25">
      <c r="A2" s="33" t="s">
        <v>38</v>
      </c>
      <c r="B2" s="35">
        <v>3544</v>
      </c>
      <c r="C2" s="10"/>
      <c r="E2" s="35"/>
    </row>
    <row r="3" spans="1:5" x14ac:dyDescent="0.25">
      <c r="A3" s="33" t="s">
        <v>7</v>
      </c>
      <c r="B3" s="36">
        <v>0.3</v>
      </c>
      <c r="C3" s="10"/>
      <c r="E3" s="36"/>
    </row>
    <row r="4" spans="1:5" x14ac:dyDescent="0.25">
      <c r="A4" s="33" t="s">
        <v>39</v>
      </c>
      <c r="B4" s="35">
        <v>1659</v>
      </c>
      <c r="C4" s="10"/>
      <c r="E4" s="35"/>
    </row>
    <row r="5" spans="1:5" x14ac:dyDescent="0.25">
      <c r="A5" s="33" t="s">
        <v>40</v>
      </c>
      <c r="B5" s="35">
        <v>1914</v>
      </c>
      <c r="C5" s="10"/>
      <c r="E5" s="35"/>
    </row>
    <row r="6" spans="1:5" x14ac:dyDescent="0.25">
      <c r="A6" s="33" t="s">
        <v>41</v>
      </c>
      <c r="B6" s="35">
        <v>1119</v>
      </c>
      <c r="C6" s="10"/>
      <c r="E6" s="35"/>
    </row>
    <row r="7" spans="1:5" x14ac:dyDescent="0.25">
      <c r="A7" s="33" t="s">
        <v>42</v>
      </c>
      <c r="B7" s="35">
        <v>20057</v>
      </c>
      <c r="C7" s="10"/>
      <c r="E7" s="35"/>
    </row>
    <row r="8" spans="1:5" x14ac:dyDescent="0.25">
      <c r="A8" s="33" t="s">
        <v>43</v>
      </c>
      <c r="B8" s="35">
        <v>8042</v>
      </c>
      <c r="C8" s="10"/>
      <c r="E8" s="35"/>
    </row>
    <row r="9" spans="1:5" x14ac:dyDescent="0.25">
      <c r="A9" s="33" t="s">
        <v>44</v>
      </c>
      <c r="B9" s="35">
        <v>4277</v>
      </c>
      <c r="C9" s="10"/>
      <c r="E9" s="35"/>
    </row>
    <row r="10" spans="1:5" x14ac:dyDescent="0.25">
      <c r="A10" s="33" t="s">
        <v>9</v>
      </c>
      <c r="B10" s="35">
        <v>21982</v>
      </c>
      <c r="C10" s="10"/>
      <c r="E10" s="35"/>
    </row>
    <row r="11" spans="1:5" x14ac:dyDescent="0.25">
      <c r="A11" s="33" t="s">
        <v>45</v>
      </c>
      <c r="B11" s="35">
        <v>5519</v>
      </c>
      <c r="C11" s="10"/>
      <c r="E11" s="35"/>
    </row>
    <row r="12" spans="1:5" x14ac:dyDescent="0.25">
      <c r="A12" s="33" t="s">
        <v>46</v>
      </c>
      <c r="B12" s="36">
        <v>7.0000000000000007E-2</v>
      </c>
      <c r="C12" s="10"/>
      <c r="E12" s="36"/>
    </row>
    <row r="13" spans="1:5" x14ac:dyDescent="0.25">
      <c r="A13" s="33" t="s">
        <v>8</v>
      </c>
      <c r="B13" s="36">
        <v>0.08</v>
      </c>
      <c r="C13" s="10"/>
      <c r="E13" s="36"/>
    </row>
    <row r="14" spans="1:5" x14ac:dyDescent="0.25">
      <c r="A14" s="33" t="s">
        <v>47</v>
      </c>
      <c r="B14" s="37">
        <v>0.8</v>
      </c>
      <c r="C14" s="10"/>
      <c r="E14" s="37"/>
    </row>
    <row r="15" spans="1:5" x14ac:dyDescent="0.25">
      <c r="A15" s="33" t="s">
        <v>48</v>
      </c>
      <c r="B15" s="36">
        <v>9.5000000000000001E-2</v>
      </c>
      <c r="C15" s="10"/>
      <c r="E15" s="36"/>
    </row>
    <row r="16" spans="1:5" x14ac:dyDescent="0.25">
      <c r="A16" s="33"/>
      <c r="B16" s="10"/>
      <c r="C16" s="10"/>
    </row>
    <row r="17" spans="1:4" x14ac:dyDescent="0.25">
      <c r="B17" s="11"/>
    </row>
    <row r="18" spans="1:4" s="14" customFormat="1" x14ac:dyDescent="0.25">
      <c r="A18" s="12"/>
      <c r="B18" s="13"/>
      <c r="D18" s="34"/>
    </row>
    <row r="19" spans="1:4" s="14" customFormat="1" x14ac:dyDescent="0.25">
      <c r="A19" s="15" t="s">
        <v>49</v>
      </c>
      <c r="B19" s="16">
        <f>+B4-B5+B6</f>
        <v>864</v>
      </c>
      <c r="D19" s="34"/>
    </row>
    <row r="20" spans="1:4" s="14" customFormat="1" x14ac:dyDescent="0.25">
      <c r="A20" s="17" t="s">
        <v>50</v>
      </c>
      <c r="B20" s="18">
        <f>+B2*(1-B3)</f>
        <v>2480.7999999999997</v>
      </c>
      <c r="D20" s="34"/>
    </row>
    <row r="21" spans="1:4" x14ac:dyDescent="0.25">
      <c r="A21" s="19" t="s">
        <v>51</v>
      </c>
      <c r="B21" s="20">
        <f>+B19/B20</f>
        <v>0.3482747500806192</v>
      </c>
    </row>
    <row r="22" spans="1:4" x14ac:dyDescent="0.25">
      <c r="A22" s="19"/>
      <c r="B22" s="20"/>
    </row>
    <row r="23" spans="1:4" x14ac:dyDescent="0.25">
      <c r="A23" s="15" t="s">
        <v>50</v>
      </c>
      <c r="B23" s="16">
        <f>+B20</f>
        <v>2480.7999999999997</v>
      </c>
    </row>
    <row r="24" spans="1:4" x14ac:dyDescent="0.25">
      <c r="A24" s="17" t="s">
        <v>52</v>
      </c>
      <c r="B24" s="18">
        <f>+B7+B8-B9</f>
        <v>23822</v>
      </c>
    </row>
    <row r="25" spans="1:4" x14ac:dyDescent="0.25">
      <c r="A25" s="21" t="s">
        <v>53</v>
      </c>
      <c r="B25" s="22">
        <f>+B23/B24</f>
        <v>0.1041390311476786</v>
      </c>
    </row>
    <row r="26" spans="1:4" x14ac:dyDescent="0.25">
      <c r="A26" s="19"/>
      <c r="B26" s="20"/>
    </row>
    <row r="27" spans="1:4" x14ac:dyDescent="0.25">
      <c r="A27" s="15" t="s">
        <v>51</v>
      </c>
      <c r="B27" s="23">
        <f>+B21</f>
        <v>0.3482747500806192</v>
      </c>
    </row>
    <row r="28" spans="1:4" x14ac:dyDescent="0.25">
      <c r="A28" s="17" t="s">
        <v>53</v>
      </c>
      <c r="B28" s="24">
        <f>+B25</f>
        <v>0.1041390311476786</v>
      </c>
    </row>
    <row r="29" spans="1:4" x14ac:dyDescent="0.25">
      <c r="A29" s="19" t="s">
        <v>54</v>
      </c>
      <c r="B29" s="25">
        <f>+B27*B28</f>
        <v>3.626899504659558E-2</v>
      </c>
    </row>
    <row r="31" spans="1:4" x14ac:dyDescent="0.25">
      <c r="A31" s="15" t="s">
        <v>55</v>
      </c>
      <c r="B31" s="26">
        <f>+B12+B13*B14</f>
        <v>0.13400000000000001</v>
      </c>
      <c r="C31" s="27"/>
    </row>
    <row r="32" spans="1:4" x14ac:dyDescent="0.25">
      <c r="A32" s="17" t="s">
        <v>56</v>
      </c>
      <c r="B32" s="24">
        <f>+B11/(B10+B11)</f>
        <v>0.20068361150503619</v>
      </c>
    </row>
    <row r="33" spans="1:2" x14ac:dyDescent="0.25">
      <c r="A33" s="19" t="s">
        <v>57</v>
      </c>
      <c r="B33" s="25">
        <f>+B31*(1-B32)+B15*(1-B3)*B32</f>
        <v>0.12045385622341007</v>
      </c>
    </row>
    <row r="34" spans="1:2" x14ac:dyDescent="0.25">
      <c r="A34" s="15"/>
    </row>
    <row r="35" spans="1:2" x14ac:dyDescent="0.25">
      <c r="A35" s="15" t="s">
        <v>50</v>
      </c>
      <c r="B35" s="28">
        <f>+B20</f>
        <v>2480.7999999999997</v>
      </c>
    </row>
    <row r="36" spans="1:2" x14ac:dyDescent="0.25">
      <c r="A36" s="17" t="s">
        <v>49</v>
      </c>
      <c r="B36" s="29">
        <f>+B19</f>
        <v>864</v>
      </c>
    </row>
    <row r="37" spans="1:2" x14ac:dyDescent="0.25">
      <c r="A37" s="19" t="s">
        <v>58</v>
      </c>
      <c r="B37" s="30">
        <f>+B35-B36</f>
        <v>1616.7999999999997</v>
      </c>
    </row>
    <row r="38" spans="1:2" x14ac:dyDescent="0.25">
      <c r="A38" s="19"/>
      <c r="B38" s="31"/>
    </row>
    <row r="39" spans="1:2" x14ac:dyDescent="0.25">
      <c r="A39" s="19" t="s">
        <v>59</v>
      </c>
      <c r="B39" s="31">
        <f>+B37*(1+B29)/(B33-B29)</f>
        <v>19901.912146322713</v>
      </c>
    </row>
    <row r="40" spans="1:2" x14ac:dyDescent="0.25">
      <c r="B40" s="32"/>
    </row>
    <row r="41" spans="1:2" x14ac:dyDescent="0.25">
      <c r="A41" s="19" t="s">
        <v>61</v>
      </c>
      <c r="B41" s="31">
        <f>+B39-B11</f>
        <v>14382.912146322713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147A-603B-4D00-9A05-70579B137DBF}">
  <dimension ref="A1:Q30"/>
  <sheetViews>
    <sheetView workbookViewId="0">
      <selection activeCell="A31" sqref="A31"/>
    </sheetView>
  </sheetViews>
  <sheetFormatPr defaultColWidth="0" defaultRowHeight="15" x14ac:dyDescent="0.25"/>
  <cols>
    <col min="1" max="1" width="27.28515625" style="8" bestFit="1" customWidth="1"/>
    <col min="2" max="3" width="16.140625" style="9" customWidth="1"/>
    <col min="4" max="4" width="10.7109375" style="10" customWidth="1"/>
    <col min="5" max="10" width="10.7109375" style="9" customWidth="1"/>
    <col min="11" max="17" width="0" style="9" hidden="1"/>
    <col min="18" max="16384" width="10.7109375" style="9" hidden="1"/>
  </cols>
  <sheetData>
    <row r="1" spans="1:3" x14ac:dyDescent="0.25">
      <c r="A1" s="48" t="s">
        <v>60</v>
      </c>
      <c r="B1" s="49"/>
      <c r="C1" s="10"/>
    </row>
    <row r="2" spans="1:3" x14ac:dyDescent="0.25">
      <c r="A2" s="33" t="s">
        <v>38</v>
      </c>
      <c r="B2" s="47">
        <v>166.67</v>
      </c>
      <c r="C2" s="10"/>
    </row>
    <row r="3" spans="1:3" x14ac:dyDescent="0.25">
      <c r="A3" s="33" t="s">
        <v>7</v>
      </c>
      <c r="B3" s="46">
        <v>0.4</v>
      </c>
      <c r="C3" s="10"/>
    </row>
    <row r="4" spans="1:3" x14ac:dyDescent="0.25">
      <c r="A4" s="33" t="s">
        <v>9</v>
      </c>
      <c r="B4" s="47">
        <v>600</v>
      </c>
      <c r="C4" s="10"/>
    </row>
    <row r="5" spans="1:3" x14ac:dyDescent="0.25">
      <c r="A5" s="33" t="s">
        <v>10</v>
      </c>
      <c r="B5" s="47">
        <v>400</v>
      </c>
      <c r="C5" s="10"/>
    </row>
    <row r="6" spans="1:3" x14ac:dyDescent="0.25">
      <c r="A6" s="33" t="s">
        <v>62</v>
      </c>
      <c r="B6" s="46">
        <v>0.13869999999999999</v>
      </c>
      <c r="C6" s="10"/>
    </row>
    <row r="7" spans="1:3" x14ac:dyDescent="0.25">
      <c r="A7" s="33" t="s">
        <v>48</v>
      </c>
      <c r="B7" s="46">
        <v>7.0000000000000007E-2</v>
      </c>
      <c r="C7" s="10"/>
    </row>
    <row r="8" spans="1:3" x14ac:dyDescent="0.25">
      <c r="A8" s="10"/>
      <c r="B8" s="10"/>
      <c r="C8" s="10"/>
    </row>
    <row r="9" spans="1:3" x14ac:dyDescent="0.25">
      <c r="B9" s="11"/>
    </row>
    <row r="10" spans="1:3" s="14" customFormat="1" x14ac:dyDescent="0.25">
      <c r="A10" s="12"/>
      <c r="B10" s="13"/>
    </row>
    <row r="11" spans="1:3" s="14" customFormat="1" x14ac:dyDescent="0.25">
      <c r="A11" s="39" t="s">
        <v>63</v>
      </c>
      <c r="B11" s="40">
        <f>+B5</f>
        <v>400</v>
      </c>
    </row>
    <row r="12" spans="1:3" s="14" customFormat="1" x14ac:dyDescent="0.25">
      <c r="A12" s="41" t="s">
        <v>64</v>
      </c>
      <c r="B12" s="42">
        <f>+B4</f>
        <v>600</v>
      </c>
    </row>
    <row r="13" spans="1:3" s="14" customFormat="1" x14ac:dyDescent="0.25">
      <c r="A13" s="43" t="s">
        <v>59</v>
      </c>
      <c r="B13" s="44">
        <f>+SUM(B11:B12)</f>
        <v>1000</v>
      </c>
    </row>
    <row r="14" spans="1:3" x14ac:dyDescent="0.25">
      <c r="A14" s="17" t="s">
        <v>56</v>
      </c>
      <c r="B14" s="24">
        <f>+B11/B13</f>
        <v>0.4</v>
      </c>
    </row>
    <row r="15" spans="1:3" x14ac:dyDescent="0.25">
      <c r="A15" s="19" t="s">
        <v>57</v>
      </c>
      <c r="B15" s="25">
        <f>+B6*(1-B14)+B7*(1-B3)*B14</f>
        <v>0.10002</v>
      </c>
    </row>
    <row r="16" spans="1:3" x14ac:dyDescent="0.25">
      <c r="A16" s="15"/>
    </row>
    <row r="17" spans="1:2" x14ac:dyDescent="0.25">
      <c r="A17" s="17" t="s">
        <v>58</v>
      </c>
      <c r="B17" s="51">
        <f>+B2*(1-B3)</f>
        <v>100.002</v>
      </c>
    </row>
    <row r="18" spans="1:2" x14ac:dyDescent="0.25">
      <c r="A18" s="19" t="s">
        <v>59</v>
      </c>
      <c r="B18" s="50">
        <f>+B17/B15</f>
        <v>999.82003599280142</v>
      </c>
    </row>
    <row r="19" spans="1:2" x14ac:dyDescent="0.25">
      <c r="B19" s="32"/>
    </row>
    <row r="20" spans="1:2" x14ac:dyDescent="0.25">
      <c r="A20" s="15" t="s">
        <v>59</v>
      </c>
      <c r="B20" s="52">
        <f>+B18</f>
        <v>999.82003599280142</v>
      </c>
    </row>
    <row r="21" spans="1:2" x14ac:dyDescent="0.25">
      <c r="A21" s="17" t="s">
        <v>65</v>
      </c>
      <c r="B21" s="51">
        <f>+B5</f>
        <v>400</v>
      </c>
    </row>
    <row r="22" spans="1:2" x14ac:dyDescent="0.25">
      <c r="A22" s="19" t="s">
        <v>61</v>
      </c>
      <c r="B22" s="50">
        <f>+B20-B21</f>
        <v>599.82003599280142</v>
      </c>
    </row>
    <row r="24" spans="1:2" x14ac:dyDescent="0.25">
      <c r="A24" s="15" t="s">
        <v>66</v>
      </c>
      <c r="B24" s="52">
        <f>+B2</f>
        <v>166.67</v>
      </c>
    </row>
    <row r="25" spans="1:2" x14ac:dyDescent="0.25">
      <c r="A25" s="17" t="s">
        <v>67</v>
      </c>
      <c r="B25" s="51">
        <f>-B5*B7</f>
        <v>-28.000000000000004</v>
      </c>
    </row>
    <row r="26" spans="1:2" x14ac:dyDescent="0.25">
      <c r="A26" s="19" t="s">
        <v>68</v>
      </c>
      <c r="B26" s="50">
        <f>+SUM(B24:B25)</f>
        <v>138.66999999999999</v>
      </c>
    </row>
    <row r="27" spans="1:2" x14ac:dyDescent="0.25">
      <c r="A27" s="15" t="s">
        <v>69</v>
      </c>
      <c r="B27" s="52">
        <f>-B3*B26</f>
        <v>-55.467999999999996</v>
      </c>
    </row>
    <row r="28" spans="1:2" x14ac:dyDescent="0.25">
      <c r="A28" s="19" t="s">
        <v>70</v>
      </c>
      <c r="B28" s="50">
        <f>+SUM(B26:B27)</f>
        <v>83.201999999999998</v>
      </c>
    </row>
    <row r="29" spans="1:2" x14ac:dyDescent="0.25">
      <c r="A29" s="19"/>
      <c r="B29" s="31"/>
    </row>
    <row r="30" spans="1:2" x14ac:dyDescent="0.25">
      <c r="A30" s="19" t="s">
        <v>61</v>
      </c>
      <c r="B30" s="50">
        <f>+B28/B6</f>
        <v>599.87022350396546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F02C-20D0-4B83-AFAE-511FAFB3E133}">
  <dimension ref="A1:B28"/>
  <sheetViews>
    <sheetView workbookViewId="0">
      <selection activeCell="A29" sqref="A29"/>
    </sheetView>
  </sheetViews>
  <sheetFormatPr defaultRowHeight="15" x14ac:dyDescent="0.25"/>
  <cols>
    <col min="1" max="1" width="43.42578125" bestFit="1" customWidth="1"/>
    <col min="2" max="2" width="11.5703125" bestFit="1" customWidth="1"/>
  </cols>
  <sheetData>
    <row r="1" spans="1:2" x14ac:dyDescent="0.25">
      <c r="A1" s="54" t="s">
        <v>13</v>
      </c>
      <c r="B1" s="54" t="s">
        <v>12</v>
      </c>
    </row>
    <row r="2" spans="1:2" x14ac:dyDescent="0.25">
      <c r="A2" t="s">
        <v>14</v>
      </c>
      <c r="B2" s="4">
        <v>9324</v>
      </c>
    </row>
    <row r="3" spans="1:2" x14ac:dyDescent="0.25">
      <c r="A3" t="s">
        <v>15</v>
      </c>
      <c r="B3" s="2">
        <v>0.46939999999999998</v>
      </c>
    </row>
    <row r="4" spans="1:2" x14ac:dyDescent="0.25">
      <c r="A4" t="s">
        <v>16</v>
      </c>
      <c r="B4" s="2">
        <v>7.1499999999999994E-2</v>
      </c>
    </row>
    <row r="5" spans="1:2" x14ac:dyDescent="0.25">
      <c r="A5" t="s">
        <v>17</v>
      </c>
      <c r="B5" s="53">
        <v>62300</v>
      </c>
    </row>
    <row r="6" spans="1:2" x14ac:dyDescent="0.25">
      <c r="A6" t="s">
        <v>18</v>
      </c>
      <c r="B6" s="53">
        <v>64500</v>
      </c>
    </row>
    <row r="7" spans="1:2" x14ac:dyDescent="0.25">
      <c r="A7" t="s">
        <v>19</v>
      </c>
      <c r="B7" s="53">
        <v>18068</v>
      </c>
    </row>
    <row r="8" spans="1:2" x14ac:dyDescent="0.25">
      <c r="A8" t="s">
        <v>20</v>
      </c>
      <c r="B8">
        <v>0.61</v>
      </c>
    </row>
    <row r="9" spans="1:2" x14ac:dyDescent="0.25">
      <c r="A9" t="s">
        <v>21</v>
      </c>
      <c r="B9" s="5" t="s">
        <v>5</v>
      </c>
    </row>
    <row r="10" spans="1:2" x14ac:dyDescent="0.25">
      <c r="A10" t="s">
        <v>22</v>
      </c>
      <c r="B10" s="2">
        <v>4.87E-2</v>
      </c>
    </row>
    <row r="11" spans="1:2" x14ac:dyDescent="0.25">
      <c r="A11" t="s">
        <v>23</v>
      </c>
      <c r="B11" s="2">
        <v>2E-3</v>
      </c>
    </row>
    <row r="12" spans="1:2" x14ac:dyDescent="0.25">
      <c r="A12" t="s">
        <v>24</v>
      </c>
      <c r="B12" s="2">
        <v>0.04</v>
      </c>
    </row>
    <row r="13" spans="1:2" x14ac:dyDescent="0.25">
      <c r="A13" t="s">
        <v>25</v>
      </c>
      <c r="B13" s="2">
        <v>0.03</v>
      </c>
    </row>
    <row r="16" spans="1:2" x14ac:dyDescent="0.25">
      <c r="A16" t="s">
        <v>35</v>
      </c>
      <c r="B16" s="2">
        <f>B13/B4</f>
        <v>0.41958041958041958</v>
      </c>
    </row>
    <row r="17" spans="1:2" x14ac:dyDescent="0.25">
      <c r="A17" t="s">
        <v>26</v>
      </c>
      <c r="B17" s="53">
        <f>B6-B7</f>
        <v>46432</v>
      </c>
    </row>
    <row r="18" spans="1:2" x14ac:dyDescent="0.25">
      <c r="A18" t="s">
        <v>28</v>
      </c>
      <c r="B18" s="53">
        <f>B6-B7+B5</f>
        <v>108732</v>
      </c>
    </row>
    <row r="19" spans="1:2" x14ac:dyDescent="0.25">
      <c r="A19" t="s">
        <v>27</v>
      </c>
      <c r="B19" s="6">
        <f>B17/B5</f>
        <v>0.74529695024077047</v>
      </c>
    </row>
    <row r="20" spans="1:2" x14ac:dyDescent="0.25">
      <c r="A20" t="s">
        <v>29</v>
      </c>
      <c r="B20" s="3">
        <f>B17/B18</f>
        <v>0.42703160063274842</v>
      </c>
    </row>
    <row r="21" spans="1:2" x14ac:dyDescent="0.25">
      <c r="A21" t="s">
        <v>33</v>
      </c>
      <c r="B21" s="7">
        <f>B8*(1+B19)</f>
        <v>1.06463113964687</v>
      </c>
    </row>
    <row r="22" spans="1:2" ht="18" x14ac:dyDescent="0.35">
      <c r="A22" t="s">
        <v>30</v>
      </c>
      <c r="B22" s="3">
        <f>B10+B8*(1+B19)*B12</f>
        <v>9.1285245585874808E-2</v>
      </c>
    </row>
    <row r="23" spans="1:2" ht="18" x14ac:dyDescent="0.35">
      <c r="A23" t="s">
        <v>31</v>
      </c>
      <c r="B23" s="2">
        <f>B10+B11</f>
        <v>5.0700000000000002E-2</v>
      </c>
    </row>
    <row r="24" spans="1:2" ht="18" x14ac:dyDescent="0.35">
      <c r="A24" t="s">
        <v>32</v>
      </c>
      <c r="B24" s="2">
        <f>B22*(1-B20)+B23*(1-B3)*B20</f>
        <v>6.3791317491078997E-2</v>
      </c>
    </row>
    <row r="26" spans="1:2" x14ac:dyDescent="0.25">
      <c r="A26" t="s">
        <v>34</v>
      </c>
      <c r="B26" s="53">
        <f>B2*(1-B3)*(1-B16)*(1+B13)</f>
        <v>2957.6636926993001</v>
      </c>
    </row>
    <row r="27" spans="1:2" x14ac:dyDescent="0.25">
      <c r="A27" t="s">
        <v>36</v>
      </c>
      <c r="B27" s="53">
        <f>B26/(B24-B13)</f>
        <v>87527.326908166026</v>
      </c>
    </row>
    <row r="28" spans="1:2" x14ac:dyDescent="0.25">
      <c r="A28" t="s">
        <v>37</v>
      </c>
      <c r="B28" s="53">
        <f>B27-B6+B7</f>
        <v>41095.326908166026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2100-11AB-4F93-ACBF-F0A6BF9BB2B2}">
  <dimension ref="A1:E44"/>
  <sheetViews>
    <sheetView tabSelected="1" workbookViewId="0">
      <selection activeCell="B24" sqref="B24"/>
    </sheetView>
  </sheetViews>
  <sheetFormatPr defaultRowHeight="15" x14ac:dyDescent="0.25"/>
  <cols>
    <col min="1" max="1" width="20.140625" bestFit="1" customWidth="1"/>
    <col min="2" max="5" width="15.7109375" customWidth="1"/>
  </cols>
  <sheetData>
    <row r="1" spans="1:2" x14ac:dyDescent="0.25">
      <c r="A1" s="56" t="s">
        <v>60</v>
      </c>
      <c r="B1" s="56"/>
    </row>
    <row r="2" spans="1:2" x14ac:dyDescent="0.25">
      <c r="A2" t="s">
        <v>71</v>
      </c>
      <c r="B2">
        <v>2700</v>
      </c>
    </row>
    <row r="3" spans="1:2" x14ac:dyDescent="0.25">
      <c r="A3" t="s">
        <v>72</v>
      </c>
      <c r="B3">
        <v>1850</v>
      </c>
    </row>
    <row r="4" spans="1:2" x14ac:dyDescent="0.25">
      <c r="A4" t="s">
        <v>48</v>
      </c>
      <c r="B4" s="3">
        <v>7.0000000000000007E-2</v>
      </c>
    </row>
    <row r="5" spans="1:2" x14ac:dyDescent="0.25">
      <c r="A5" t="s">
        <v>73</v>
      </c>
      <c r="B5">
        <v>1</v>
      </c>
    </row>
    <row r="6" spans="1:2" x14ac:dyDescent="0.25">
      <c r="A6" t="s">
        <v>46</v>
      </c>
      <c r="B6" s="3">
        <v>3.5000000000000003E-2</v>
      </c>
    </row>
    <row r="7" spans="1:2" x14ac:dyDescent="0.25">
      <c r="A7" t="s">
        <v>8</v>
      </c>
      <c r="B7" s="3">
        <v>0.05</v>
      </c>
    </row>
    <row r="8" spans="1:2" x14ac:dyDescent="0.25">
      <c r="A8" t="s">
        <v>7</v>
      </c>
      <c r="B8" s="3">
        <v>0.35</v>
      </c>
    </row>
    <row r="9" spans="1:2" x14ac:dyDescent="0.25">
      <c r="A9" t="s">
        <v>74</v>
      </c>
      <c r="B9" s="3">
        <v>3.5000000000000003E-2</v>
      </c>
    </row>
    <row r="10" spans="1:2" x14ac:dyDescent="0.25">
      <c r="A10" t="s">
        <v>38</v>
      </c>
      <c r="B10">
        <v>230</v>
      </c>
    </row>
    <row r="11" spans="1:2" x14ac:dyDescent="0.25">
      <c r="A11" t="s">
        <v>75</v>
      </c>
      <c r="B11">
        <v>1722</v>
      </c>
    </row>
    <row r="12" spans="1:2" x14ac:dyDescent="0.25">
      <c r="A12" t="s">
        <v>76</v>
      </c>
      <c r="B12" s="3">
        <v>0.14000000000000001</v>
      </c>
    </row>
    <row r="13" spans="1:2" x14ac:dyDescent="0.25">
      <c r="A13" t="s">
        <v>6</v>
      </c>
      <c r="B13" s="3">
        <v>0.3</v>
      </c>
    </row>
    <row r="14" spans="1:2" x14ac:dyDescent="0.25">
      <c r="A14" t="s">
        <v>77</v>
      </c>
      <c r="B14" s="3">
        <v>0.2</v>
      </c>
    </row>
    <row r="17" spans="1:5" x14ac:dyDescent="0.25">
      <c r="A17" s="57"/>
      <c r="B17" s="57"/>
      <c r="C17" s="57"/>
    </row>
    <row r="18" spans="1:5" s="57" customFormat="1" x14ac:dyDescent="0.25"/>
    <row r="19" spans="1:5" s="57" customFormat="1" x14ac:dyDescent="0.25">
      <c r="A19" s="15" t="s">
        <v>78</v>
      </c>
      <c r="B19" s="26">
        <f>+B6+B5*B7</f>
        <v>8.5000000000000006E-2</v>
      </c>
    </row>
    <row r="20" spans="1:5" s="57" customFormat="1" x14ac:dyDescent="0.25">
      <c r="A20" s="15"/>
      <c r="B20" s="9"/>
    </row>
    <row r="21" spans="1:5" s="57" customFormat="1" x14ac:dyDescent="0.25">
      <c r="A21" s="15" t="s">
        <v>51</v>
      </c>
      <c r="B21" s="23">
        <f>+B9/B12</f>
        <v>0.25</v>
      </c>
    </row>
    <row r="22" spans="1:5" s="57" customFormat="1" x14ac:dyDescent="0.25">
      <c r="A22" s="17" t="s">
        <v>79</v>
      </c>
      <c r="B22" s="45">
        <f>+B10*(1-B8)*(1-B21)*(1+B9)</f>
        <v>116.049375</v>
      </c>
    </row>
    <row r="23" spans="1:5" s="57" customFormat="1" x14ac:dyDescent="0.25">
      <c r="A23" s="19" t="s">
        <v>80</v>
      </c>
      <c r="B23" s="60">
        <f>+B22/(B19-B9)</f>
        <v>2320.9874999999997</v>
      </c>
    </row>
    <row r="24" spans="1:5" s="57" customFormat="1" x14ac:dyDescent="0.25"/>
    <row r="26" spans="1:5" x14ac:dyDescent="0.25">
      <c r="A26" t="s">
        <v>11</v>
      </c>
      <c r="B26" t="s">
        <v>4</v>
      </c>
      <c r="C26" t="s">
        <v>1</v>
      </c>
      <c r="D26" t="s">
        <v>2</v>
      </c>
      <c r="E26" t="s">
        <v>3</v>
      </c>
    </row>
    <row r="27" spans="1:5" x14ac:dyDescent="0.25">
      <c r="A27">
        <v>1</v>
      </c>
      <c r="B27">
        <v>1850</v>
      </c>
      <c r="C27">
        <f>B27*0.07</f>
        <v>129.5</v>
      </c>
      <c r="D27" s="1">
        <f>C27*0.35</f>
        <v>45.324999999999996</v>
      </c>
      <c r="E27" s="1">
        <f>D27/((1+0.07)^A27)</f>
        <v>42.35981308411214</v>
      </c>
    </row>
    <row r="28" spans="1:5" x14ac:dyDescent="0.25">
      <c r="A28">
        <v>2</v>
      </c>
      <c r="B28">
        <v>1700</v>
      </c>
      <c r="C28">
        <f t="shared" ref="C28:C37" si="0">B28*0.07</f>
        <v>119.00000000000001</v>
      </c>
      <c r="D28" s="1">
        <f t="shared" ref="D28:D36" si="1">C28*0.35</f>
        <v>41.650000000000006</v>
      </c>
      <c r="E28" s="1">
        <f t="shared" ref="E28:E36" si="2">D28/((1+0.07)^A28)</f>
        <v>36.378723032579266</v>
      </c>
    </row>
    <row r="29" spans="1:5" x14ac:dyDescent="0.25">
      <c r="A29">
        <v>3</v>
      </c>
      <c r="B29">
        <v>1550</v>
      </c>
      <c r="C29">
        <f t="shared" si="0"/>
        <v>108.50000000000001</v>
      </c>
      <c r="D29" s="1">
        <f t="shared" si="1"/>
        <v>37.975000000000001</v>
      </c>
      <c r="E29" s="1">
        <f t="shared" si="2"/>
        <v>30.998911874930101</v>
      </c>
    </row>
    <row r="30" spans="1:5" x14ac:dyDescent="0.25">
      <c r="A30">
        <v>4</v>
      </c>
      <c r="B30">
        <v>1400</v>
      </c>
      <c r="C30">
        <f t="shared" si="0"/>
        <v>98.000000000000014</v>
      </c>
      <c r="D30" s="1">
        <f t="shared" si="1"/>
        <v>34.300000000000004</v>
      </c>
      <c r="E30" s="1">
        <f t="shared" si="2"/>
        <v>26.167305773230119</v>
      </c>
    </row>
    <row r="31" spans="1:5" x14ac:dyDescent="0.25">
      <c r="A31">
        <v>5</v>
      </c>
      <c r="B31">
        <v>1250</v>
      </c>
      <c r="C31">
        <f t="shared" si="0"/>
        <v>87.500000000000014</v>
      </c>
      <c r="D31" s="1">
        <f t="shared" si="1"/>
        <v>30.625000000000004</v>
      </c>
      <c r="E31" s="1">
        <f t="shared" si="2"/>
        <v>21.835201746687346</v>
      </c>
    </row>
    <row r="32" spans="1:5" x14ac:dyDescent="0.25">
      <c r="A32">
        <v>6</v>
      </c>
      <c r="B32">
        <v>1100</v>
      </c>
      <c r="C32">
        <f t="shared" si="0"/>
        <v>77.000000000000014</v>
      </c>
      <c r="D32" s="1">
        <f t="shared" si="1"/>
        <v>26.950000000000003</v>
      </c>
      <c r="E32" s="1">
        <f t="shared" si="2"/>
        <v>17.957922931855016</v>
      </c>
    </row>
    <row r="33" spans="1:5" x14ac:dyDescent="0.25">
      <c r="A33">
        <v>7</v>
      </c>
      <c r="B33">
        <v>950</v>
      </c>
      <c r="C33">
        <f t="shared" si="0"/>
        <v>66.5</v>
      </c>
      <c r="D33" s="1">
        <f t="shared" si="1"/>
        <v>23.274999999999999</v>
      </c>
      <c r="E33" s="1">
        <f t="shared" si="2"/>
        <v>14.494500242363857</v>
      </c>
    </row>
    <row r="34" spans="1:5" x14ac:dyDescent="0.25">
      <c r="A34">
        <v>8</v>
      </c>
      <c r="B34">
        <v>800</v>
      </c>
      <c r="C34">
        <f t="shared" si="0"/>
        <v>56.000000000000007</v>
      </c>
      <c r="D34" s="1">
        <f t="shared" si="1"/>
        <v>19.600000000000001</v>
      </c>
      <c r="E34" s="1">
        <f t="shared" si="2"/>
        <v>11.407378449474754</v>
      </c>
    </row>
    <row r="35" spans="1:5" x14ac:dyDescent="0.25">
      <c r="A35">
        <v>9</v>
      </c>
      <c r="B35">
        <v>650</v>
      </c>
      <c r="C35">
        <f t="shared" si="0"/>
        <v>45.500000000000007</v>
      </c>
      <c r="D35" s="1">
        <f t="shared" si="1"/>
        <v>15.925000000000001</v>
      </c>
      <c r="E35" s="1">
        <f t="shared" si="2"/>
        <v>8.6621448506525578</v>
      </c>
    </row>
    <row r="36" spans="1:5" x14ac:dyDescent="0.25">
      <c r="A36">
        <v>10</v>
      </c>
      <c r="B36">
        <v>500</v>
      </c>
      <c r="C36">
        <f t="shared" si="0"/>
        <v>35</v>
      </c>
      <c r="D36" s="1">
        <f t="shared" si="1"/>
        <v>12.25</v>
      </c>
      <c r="E36" s="1">
        <f t="shared" si="2"/>
        <v>6.2272788286502934</v>
      </c>
    </row>
    <row r="37" spans="1:5" x14ac:dyDescent="0.25">
      <c r="A37" t="s">
        <v>0</v>
      </c>
      <c r="B37">
        <v>500</v>
      </c>
      <c r="C37">
        <f t="shared" si="0"/>
        <v>35</v>
      </c>
      <c r="D37">
        <f t="shared" ref="D37" si="3">C37*0.35</f>
        <v>12.25</v>
      </c>
      <c r="E37" s="1">
        <f>D37/(0.07*((1+0.07)^A36))</f>
        <v>88.96112612357561</v>
      </c>
    </row>
    <row r="39" spans="1:5" x14ac:dyDescent="0.25">
      <c r="D39" s="58" t="s">
        <v>81</v>
      </c>
      <c r="E39" s="1">
        <f>SUM(E27:E37)</f>
        <v>305.45030693811111</v>
      </c>
    </row>
    <row r="40" spans="1:5" s="57" customFormat="1" x14ac:dyDescent="0.25">
      <c r="A40" s="19" t="s">
        <v>82</v>
      </c>
      <c r="B40" s="31">
        <f>+(B23+E39)*B13*B14</f>
        <v>157.58626841628666</v>
      </c>
    </row>
    <row r="41" spans="1:5" s="57" customFormat="1" x14ac:dyDescent="0.25">
      <c r="A41" s="61"/>
      <c r="B41" s="59"/>
    </row>
    <row r="42" spans="1:5" s="57" customFormat="1" x14ac:dyDescent="0.25">
      <c r="A42" s="19" t="s">
        <v>83</v>
      </c>
      <c r="B42" s="31">
        <f>B23 + E39 -B40</f>
        <v>2468.8515385218243</v>
      </c>
    </row>
    <row r="43" spans="1:5" s="57" customFormat="1" x14ac:dyDescent="0.25"/>
    <row r="44" spans="1:5" s="57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Relevering</vt:lpstr>
      <vt:lpstr>Telesp</vt:lpstr>
      <vt:lpstr>NoGrowth</vt:lpstr>
      <vt:lpstr>Daimler-Chrysler</vt:lpstr>
      <vt:lpstr>J Crew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Stefano Rossi</cp:lastModifiedBy>
  <dcterms:created xsi:type="dcterms:W3CDTF">2023-09-27T21:16:18Z</dcterms:created>
  <dcterms:modified xsi:type="dcterms:W3CDTF">2026-10-01T17:16:27Z</dcterms:modified>
</cp:coreProperties>
</file>